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likit\Downloads\excel projects\"/>
    </mc:Choice>
  </mc:AlternateContent>
  <xr:revisionPtr revIDLastSave="0" documentId="13_ncr:1_{CA1BC95C-B420-4F50-A693-063F2E9A5A08}" xr6:coauthVersionLast="47" xr6:coauthVersionMax="47" xr10:uidLastSave="{00000000-0000-0000-0000-000000000000}"/>
  <bookViews>
    <workbookView xWindow="-108" yWindow="-108" windowWidth="23256" windowHeight="12456" tabRatio="829" activeTab="2" xr2:uid="{346724B3-1C49-40AE-AA36-C77CF5D6DD09}"/>
  </bookViews>
  <sheets>
    <sheet name="Data" sheetId="1" r:id="rId1"/>
    <sheet name="Questions &amp; KPIs" sheetId="2" r:id="rId2"/>
    <sheet name="Dashboard" sheetId="6" r:id="rId3"/>
    <sheet name="Sheet1" sheetId="5" r:id="rId4"/>
  </sheets>
  <definedNames>
    <definedName name="_xlchart.v5.0" hidden="1">Sheet1!$AA$41:$AB$41</definedName>
    <definedName name="_xlchart.v5.1" hidden="1">Sheet1!$AA$42:$AB$99</definedName>
    <definedName name="_xlchart.v5.10" hidden="1">Sheet1!$AL$40</definedName>
    <definedName name="_xlchart.v5.11" hidden="1">Sheet1!$AL$41:$AL$98</definedName>
    <definedName name="_xlchart.v5.12" hidden="1">Sheet1!$AM$40</definedName>
    <definedName name="_xlchart.v5.13" hidden="1">Sheet1!$AM$41:$AM$98</definedName>
    <definedName name="_xlchart.v5.2" hidden="1">Sheet1!$AC$41</definedName>
    <definedName name="_xlchart.v5.3" hidden="1">Sheet1!$AC$42:$AC$99</definedName>
    <definedName name="_xlchart.v5.4" hidden="1">Sheet1!$AF$41:$AG$41</definedName>
    <definedName name="_xlchart.v5.5" hidden="1">Sheet1!$AF$42:$AG$99</definedName>
    <definedName name="_xlchart.v5.6" hidden="1">Sheet1!$AH$41</definedName>
    <definedName name="_xlchart.v5.7" hidden="1">Sheet1!$AH$42:$AH$99</definedName>
    <definedName name="_xlchart.v5.8" hidden="1">Sheet1!$AJ$40:$AK$40</definedName>
    <definedName name="_xlchart.v5.9" hidden="1">Sheet1!$AJ$41:$AK$98</definedName>
    <definedName name="Slicer_Gender_Value">#N/A</definedName>
    <definedName name="Slicer_Order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0" i="5" l="1"/>
  <c r="N17" i="5"/>
  <c r="O17" i="5"/>
  <c r="P17" i="5"/>
  <c r="Q17" i="5"/>
  <c r="R17" i="5"/>
  <c r="N18" i="5"/>
  <c r="O18" i="5"/>
  <c r="P18" i="5"/>
  <c r="Q18" i="5"/>
  <c r="R18" i="5"/>
  <c r="N19" i="5"/>
  <c r="O19" i="5"/>
  <c r="P19" i="5"/>
  <c r="Q19" i="5"/>
  <c r="R19" i="5"/>
  <c r="N20" i="5"/>
  <c r="O20" i="5"/>
  <c r="P20" i="5"/>
  <c r="Q20" i="5"/>
  <c r="O16" i="5"/>
  <c r="P16" i="5"/>
  <c r="Q16" i="5"/>
  <c r="R16" i="5"/>
  <c r="P15" i="5"/>
  <c r="Q15" i="5"/>
  <c r="R15" i="5"/>
  <c r="O15" i="5"/>
  <c r="N16"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B42" i="5"/>
  <c r="AC42" i="5"/>
  <c r="AG43" i="5"/>
  <c r="AG44" i="5"/>
  <c r="AG45" i="5"/>
  <c r="AG46" i="5"/>
  <c r="AG47" i="5"/>
  <c r="AG48" i="5"/>
  <c r="AG49" i="5"/>
  <c r="AG50" i="5"/>
  <c r="AG51" i="5"/>
  <c r="AG52" i="5"/>
  <c r="AG53" i="5"/>
  <c r="AG54" i="5"/>
  <c r="AG55" i="5"/>
  <c r="AG56" i="5"/>
  <c r="AG57" i="5"/>
  <c r="AG58" i="5"/>
  <c r="AG59" i="5"/>
  <c r="AG60" i="5"/>
  <c r="AG61" i="5"/>
  <c r="AG62" i="5"/>
  <c r="AG63" i="5"/>
  <c r="AG64" i="5"/>
  <c r="AG65" i="5"/>
  <c r="AG66" i="5"/>
  <c r="AG67" i="5"/>
  <c r="AG68" i="5"/>
  <c r="AG69" i="5"/>
  <c r="AG70" i="5"/>
  <c r="AG71" i="5"/>
  <c r="AG72" i="5"/>
  <c r="AG73" i="5"/>
  <c r="AG74" i="5"/>
  <c r="AG75" i="5"/>
  <c r="AG76" i="5"/>
  <c r="AG77" i="5"/>
  <c r="AG78" i="5"/>
  <c r="AG79" i="5"/>
  <c r="AG80" i="5"/>
  <c r="AG81" i="5"/>
  <c r="AG82" i="5"/>
  <c r="AG83" i="5"/>
  <c r="AG84" i="5"/>
  <c r="AG85" i="5"/>
  <c r="AG86" i="5"/>
  <c r="AG87" i="5"/>
  <c r="AG88" i="5"/>
  <c r="AG89" i="5"/>
  <c r="AG90" i="5"/>
  <c r="AG91" i="5"/>
  <c r="AG92" i="5"/>
  <c r="AG93" i="5"/>
  <c r="AG94" i="5"/>
  <c r="AG95" i="5"/>
  <c r="AG96" i="5"/>
  <c r="AG97" i="5"/>
  <c r="AG98" i="5"/>
  <c r="AG99" i="5"/>
  <c r="AH43" i="5"/>
  <c r="AH44" i="5"/>
  <c r="AH45" i="5"/>
  <c r="AH46" i="5"/>
  <c r="AH47" i="5"/>
  <c r="AH48" i="5"/>
  <c r="AH49" i="5"/>
  <c r="AH50" i="5"/>
  <c r="AH51" i="5"/>
  <c r="AH52" i="5"/>
  <c r="AH53" i="5"/>
  <c r="AH54" i="5"/>
  <c r="AH55" i="5"/>
  <c r="AH56" i="5"/>
  <c r="AH57" i="5"/>
  <c r="AH58" i="5"/>
  <c r="AH59" i="5"/>
  <c r="AH60" i="5"/>
  <c r="AH61" i="5"/>
  <c r="AH62" i="5"/>
  <c r="AH63" i="5"/>
  <c r="AH64" i="5"/>
  <c r="AH65" i="5"/>
  <c r="AH66" i="5"/>
  <c r="AH67" i="5"/>
  <c r="AH68" i="5"/>
  <c r="AH69" i="5"/>
  <c r="AH70" i="5"/>
  <c r="AH71" i="5"/>
  <c r="AH72" i="5"/>
  <c r="AH73" i="5"/>
  <c r="AH74" i="5"/>
  <c r="AH75" i="5"/>
  <c r="AH76" i="5"/>
  <c r="AH77" i="5"/>
  <c r="AH78" i="5"/>
  <c r="AH79" i="5"/>
  <c r="AH80" i="5"/>
  <c r="AH81" i="5"/>
  <c r="AH82" i="5"/>
  <c r="AH83" i="5"/>
  <c r="AH84" i="5"/>
  <c r="AH85" i="5"/>
  <c r="AH86" i="5"/>
  <c r="AH87" i="5"/>
  <c r="AH88" i="5"/>
  <c r="AH89" i="5"/>
  <c r="AH90" i="5"/>
  <c r="AH91" i="5"/>
  <c r="AH92" i="5"/>
  <c r="AH93" i="5"/>
  <c r="AH94" i="5"/>
  <c r="AH95" i="5"/>
  <c r="AH96" i="5"/>
  <c r="AH97" i="5"/>
  <c r="AH98" i="5"/>
  <c r="AH99" i="5"/>
  <c r="AH42" i="5"/>
  <c r="AF43" i="5"/>
  <c r="AF44" i="5"/>
  <c r="AF45" i="5"/>
  <c r="AF46" i="5"/>
  <c r="AF47" i="5"/>
  <c r="AF48" i="5"/>
  <c r="AF49" i="5"/>
  <c r="AF50" i="5"/>
  <c r="AF51" i="5"/>
  <c r="AF52" i="5"/>
  <c r="AF53" i="5"/>
  <c r="AF54" i="5"/>
  <c r="AF55" i="5"/>
  <c r="AF56" i="5"/>
  <c r="AF57" i="5"/>
  <c r="AF58" i="5"/>
  <c r="AF59" i="5"/>
  <c r="AF60" i="5"/>
  <c r="AF61" i="5"/>
  <c r="AF62" i="5"/>
  <c r="AF63" i="5"/>
  <c r="AF64" i="5"/>
  <c r="AF65" i="5"/>
  <c r="AF66" i="5"/>
  <c r="AF67" i="5"/>
  <c r="AF68" i="5"/>
  <c r="AF69" i="5"/>
  <c r="AF70" i="5"/>
  <c r="AF71" i="5"/>
  <c r="AF72" i="5"/>
  <c r="AF73" i="5"/>
  <c r="AF74" i="5"/>
  <c r="AF75" i="5"/>
  <c r="AF76" i="5"/>
  <c r="AF77" i="5"/>
  <c r="AF78" i="5"/>
  <c r="AF79" i="5"/>
  <c r="AF80" i="5"/>
  <c r="AF81" i="5"/>
  <c r="AF82" i="5"/>
  <c r="AF83" i="5"/>
  <c r="AF84" i="5"/>
  <c r="AF85" i="5"/>
  <c r="AF86" i="5"/>
  <c r="AF87" i="5"/>
  <c r="AF88" i="5"/>
  <c r="AF89" i="5"/>
  <c r="AF90" i="5"/>
  <c r="AF91" i="5"/>
  <c r="AF92" i="5"/>
  <c r="AF93" i="5"/>
  <c r="AF94" i="5"/>
  <c r="AF95" i="5"/>
  <c r="AF96" i="5"/>
  <c r="AF97" i="5"/>
  <c r="AF98" i="5"/>
  <c r="AF99" i="5"/>
  <c r="AG42" i="5"/>
  <c r="AF42" i="5"/>
  <c r="I5" i="5"/>
  <c r="M5" i="5"/>
  <c r="L5" i="5"/>
  <c r="K5" i="5"/>
  <c r="J5"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<sst xmlns="http://schemas.openxmlformats.org/spreadsheetml/2006/main" count="14757" uniqueCount="2541">
  <si>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</si>
  <si>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</si>
  <si>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</si>
  <si>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</si>
  <si>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</si>
  <si>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</si>
  <si>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</si>
  <si>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</si>
  <si>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</si>
  <si>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</si>
  <si>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</si>
  <si>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</si>
  <si>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</si>
  <si>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</si>
  <si>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</si>
  <si>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</si>
  <si>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</si>
  <si>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</si>
  <si>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</si>
  <si>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</si>
  <si>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</si>
  <si>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</si>
  <si>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</si>
  <si>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</si>
  <si>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</si>
  <si>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</si>
  <si>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</si>
  <si>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</si>
  <si>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</si>
  <si>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</si>
  <si>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</si>
  <si>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</si>
  <si>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</si>
  <si>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</si>
  <si>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</si>
  <si>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</si>
  <si>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</si>
  <si>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</si>
  <si>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</si>
  <si>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</si>
  <si>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</si>
  <si>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</si>
  <si>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</si>
  <si>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</si>
  <si>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</si>
  <si>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</si>
  <si>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</si>
  <si>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</si>
  <si>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</si>
  <si>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</si>
  <si>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</si>
  <si>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</si>
  <si>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</si>
  <si>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</si>
  <si>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</si>
  <si>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</si>
  <si>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</si>
  <si>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</si>
  <si>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</si>
  <si>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</si>
  <si>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</si>
  <si>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</si>
  <si>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</si>
  <si>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</si>
  <si>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</si>
  <si>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</si>
  <si>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</si>
  <si>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</si>
  <si>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</si>
  <si>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</si>
  <si>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</si>
  <si>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</si>
  <si>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</si>
  <si>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</si>
  <si>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</si>
  <si>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</si>
  <si>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</si>
  <si>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</si>
  <si>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</si>
  <si>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</si>
  <si>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</si>
  <si>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</si>
  <si>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</si>
  <si>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</si>
  <si>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</si>
  <si>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</si>
  <si>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</si>
  <si>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</si>
  <si>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</si>
  <si>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</si>
  <si>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</si>
  <si>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</si>
  <si>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</si>
  <si>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</si>
  <si>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</si>
  <si>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</si>
  <si>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</si>
  <si>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</si>
  <si>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</si>
  <si>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</si>
  <si>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</si>
  <si>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</si>
  <si>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</si>
  <si>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</si>
  <si>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</si>
  <si>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</si>
  <si>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</si>
  <si>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</si>
  <si>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</si>
  <si>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</si>
  <si>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</si>
  <si>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</si>
  <si>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</si>
  <si>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</si>
  <si>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</si>
  <si>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</si>
  <si>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</si>
  <si>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</si>
  <si>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</si>
  <si>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</si>
  <si>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</si>
  <si>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</si>
  <si>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</si>
  <si>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</si>
  <si>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</si>
  <si>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</si>
  <si>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</si>
  <si>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</si>
  <si>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</si>
  <si>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</si>
  <si>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</si>
  <si>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</si>
  <si>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</si>
  <si>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</si>
  <si>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</si>
  <si>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</si>
  <si>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</si>
  <si>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</si>
  <si>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</si>
  <si>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</si>
  <si>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</si>
  <si>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</si>
  <si>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</si>
  <si>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</si>
  <si>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</si>
  <si>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</si>
  <si>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</si>
  <si>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</si>
  <si>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</si>
  <si>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</si>
  <si>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</si>
  <si>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</si>
  <si>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</si>
  <si>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</si>
  <si>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</si>
  <si>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</si>
  <si>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</si>
  <si>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</si>
  <si>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</si>
  <si>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</si>
  <si>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</si>
  <si>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</si>
  <si>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</si>
  <si>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</si>
  <si>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</si>
  <si>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</si>
  <si>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</si>
  <si>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</si>
  <si>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</si>
  <si>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</si>
  <si>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</si>
  <si>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</si>
  <si>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</si>
  <si>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</si>
  <si>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</si>
  <si>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</si>
  <si>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</si>
  <si>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</si>
  <si>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</si>
  <si>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</si>
  <si>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</si>
  <si>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</si>
  <si>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</si>
  <si>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</si>
  <si>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</si>
  <si>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</si>
  <si>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</si>
  <si>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</si>
  <si>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</si>
  <si>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</si>
  <si>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</si>
  <si>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</si>
  <si>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</si>
  <si>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</si>
  <si>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</si>
  <si>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</si>
  <si>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</si>
  <si>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</si>
  <si>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</si>
  <si>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</si>
  <si>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</si>
  <si>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</si>
  <si>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</si>
  <si>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</si>
  <si>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</si>
  <si>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</si>
  <si>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</si>
  <si>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</si>
  <si>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</si>
  <si>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</si>
  <si>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</si>
  <si>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</si>
  <si>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</si>
  <si>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</si>
  <si>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</si>
  <si>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</si>
  <si>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</si>
  <si>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</si>
  <si>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</si>
  <si>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</si>
  <si>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</si>
  <si>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</si>
  <si>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</si>
  <si>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</si>
  <si>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</si>
  <si>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</si>
  <si>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</si>
  <si>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</si>
  <si>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</si>
  <si>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</si>
  <si>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</si>
  <si>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</si>
  <si>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</si>
  <si>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</si>
  <si>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</si>
  <si>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</si>
  <si>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</si>
  <si>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</si>
  <si>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</si>
  <si>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</si>
  <si>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</si>
  <si>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</si>
  <si>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</si>
  <si>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</si>
  <si>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</si>
  <si>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</si>
  <si>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</si>
  <si>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</si>
  <si>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</si>
  <si>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</si>
  <si>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</si>
  <si>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</si>
  <si>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</si>
  <si>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</si>
  <si>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</si>
  <si>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</si>
  <si>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</si>
  <si>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</si>
  <si>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</si>
  <si>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</si>
  <si>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</si>
  <si>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</si>
  <si>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</si>
  <si>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</si>
  <si>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</si>
  <si>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</si>
  <si>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</si>
  <si>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</si>
  <si>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</si>
  <si>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</si>
  <si>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</si>
  <si>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</si>
  <si>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</si>
  <si>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</si>
  <si>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</si>
  <si>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</si>
  <si>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</si>
  <si>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</si>
  <si>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</si>
  <si>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</si>
  <si>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</si>
  <si>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</si>
  <si>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</si>
  <si>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</si>
  <si>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</si>
  <si>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</si>
  <si>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</si>
  <si>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</si>
  <si>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</si>
  <si>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</si>
  <si>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</si>
  <si>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</si>
  <si>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</si>
  <si>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</si>
  <si>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</si>
  <si>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</si>
  <si>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</si>
  <si>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</si>
  <si>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</si>
  <si>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</si>
  <si>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</si>
  <si>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</si>
  <si>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</si>
  <si>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</si>
  <si>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</si>
  <si>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</si>
  <si>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</si>
  <si>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</si>
  <si>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</si>
  <si>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</si>
  <si>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</si>
  <si>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</si>
  <si>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</si>
  <si>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</si>
  <si>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</si>
  <si>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</si>
  <si>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</si>
  <si>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</si>
  <si>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</si>
  <si>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</si>
  <si>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</si>
  <si>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</si>
  <si>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</si>
  <si>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</si>
  <si>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</si>
  <si>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</si>
  <si>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</si>
  <si>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</si>
  <si>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</si>
  <si>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</si>
  <si>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</si>
  <si>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</si>
  <si>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</si>
  <si>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</si>
  <si>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</si>
  <si>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</si>
  <si>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</si>
  <si>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</si>
  <si>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</si>
  <si>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</si>
  <si>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</si>
  <si>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</si>
  <si>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</si>
  <si>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</si>
  <si>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</si>
  <si>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</si>
  <si>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</si>
  <si>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</si>
  <si>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</si>
  <si>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</si>
  <si>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</si>
  <si>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</si>
  <si>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</si>
  <si>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</si>
  <si>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</si>
  <si>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</si>
  <si>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</si>
  <si>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</si>
  <si>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</si>
  <si>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</si>
  <si>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</si>
  <si>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</si>
  <si>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</si>
  <si>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</si>
  <si>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</si>
  <si>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</si>
  <si>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</si>
  <si>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</si>
  <si>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</si>
  <si>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</si>
  <si>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</si>
  <si>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</si>
  <si>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</si>
  <si>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</si>
  <si>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</si>
  <si>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</si>
  <si>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</si>
  <si>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</si>
  <si>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</si>
  <si>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</si>
  <si>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</si>
  <si>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</si>
  <si>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</si>
  <si>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</si>
  <si>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</si>
  <si>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</si>
  <si>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</si>
  <si>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</si>
  <si>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</si>
  <si>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</si>
  <si>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</si>
  <si>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</si>
  <si>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</si>
  <si>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</si>
  <si>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</si>
  <si>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</si>
  <si>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</si>
  <si>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</si>
  <si>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</si>
  <si>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</si>
  <si>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</si>
  <si>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</si>
  <si>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</si>
  <si>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</si>
  <si>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</si>
  <si>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</si>
  <si>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</si>
  <si>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</si>
  <si>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</si>
  <si>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</si>
  <si>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</si>
  <si>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</si>
  <si>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</si>
  <si>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</si>
  <si>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</si>
  <si>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</si>
  <si>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</si>
  <si>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</si>
  <si>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</si>
  <si>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</si>
  <si>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</si>
  <si>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</si>
  <si>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</si>
  <si>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</si>
  <si>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</si>
  <si>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</si>
  <si>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</si>
  <si>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</si>
  <si>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</si>
  <si>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</si>
  <si>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</si>
  <si>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</si>
  <si>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</si>
  <si>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</si>
  <si>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</si>
  <si>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</si>
  <si>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</si>
  <si>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</si>
  <si>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</si>
  <si>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</si>
  <si>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</si>
  <si>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</si>
  <si>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</si>
  <si>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</si>
  <si>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</si>
  <si>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</si>
  <si>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</si>
  <si>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</si>
  <si>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</si>
  <si>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</si>
  <si>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</si>
  <si>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</si>
  <si>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</si>
  <si>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</si>
  <si>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</si>
  <si>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</si>
  <si>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</si>
  <si>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</si>
  <si>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</si>
  <si>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</si>
  <si>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</si>
  <si>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</si>
  <si>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</si>
  <si>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</si>
  <si>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</si>
  <si>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</si>
  <si>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</si>
  <si>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</si>
  <si>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</si>
  <si>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</si>
  <si>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</si>
  <si>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</si>
  <si>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</si>
  <si>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</si>
  <si>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</si>
  <si>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</si>
  <si>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</si>
  <si>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</si>
  <si>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</si>
  <si>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</si>
  <si>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</si>
  <si>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</si>
  <si>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</si>
  <si>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</si>
  <si>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</si>
  <si>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</si>
  <si>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</si>
  <si>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</si>
  <si>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</si>
  <si>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</si>
  <si>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</si>
  <si>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</si>
  <si>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</si>
  <si>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</si>
  <si>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</si>
  <si>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</si>
  <si>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</si>
  <si>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</si>
  <si>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</si>
  <si>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</si>
  <si>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</si>
  <si>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</si>
  <si>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</si>
  <si>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</si>
  <si>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</si>
  <si>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</si>
  <si>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</si>
  <si>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</si>
  <si>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</si>
  <si>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</si>
  <si>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</si>
  <si>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</si>
  <si>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</si>
  <si>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</si>
  <si>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</si>
  <si>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</si>
  <si>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</si>
  <si>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</si>
  <si>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</si>
  <si>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</si>
  <si>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</si>
  <si>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</si>
  <si>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</si>
  <si>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</si>
  <si>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</si>
  <si>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</si>
  <si>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</si>
  <si>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</si>
  <si>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</si>
  <si>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</si>
  <si>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</si>
  <si>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</si>
  <si>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</si>
  <si>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</si>
  <si>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</si>
  <si>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</si>
  <si>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</si>
  <si>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</si>
  <si>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</si>
  <si>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</si>
  <si>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</si>
  <si>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</si>
  <si>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</si>
  <si>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</si>
  <si>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</si>
  <si>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</si>
  <si>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</si>
  <si>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</si>
  <si>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</si>
  <si>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</si>
  <si>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</si>
  <si>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</si>
  <si>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</si>
  <si>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</si>
  <si>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</si>
  <si>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</si>
  <si>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</si>
  <si>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</si>
  <si>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</si>
  <si>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</si>
  <si>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</si>
  <si>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</si>
  <si>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</si>
  <si>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</si>
  <si>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</si>
  <si>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</si>
  <si>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</si>
  <si>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</si>
  <si>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</si>
  <si>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</si>
  <si>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</si>
  <si>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</si>
  <si>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</si>
  <si>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</si>
  <si>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</si>
  <si>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</si>
  <si>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</si>
  <si>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</si>
  <si>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</si>
  <si>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</si>
  <si>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</si>
  <si>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</si>
  <si>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</si>
  <si>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</si>
  <si>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</si>
  <si>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</si>
  <si>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</si>
  <si>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</si>
  <si>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</si>
  <si>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</si>
  <si>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</si>
  <si>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</si>
  <si>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</si>
  <si>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</si>
  <si>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</si>
  <si>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</si>
  <si>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</si>
  <si>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</si>
  <si>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</si>
  <si>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</si>
  <si>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</si>
  <si>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</si>
  <si>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</si>
  <si>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</si>
  <si>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</si>
  <si>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</si>
  <si>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</si>
  <si>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</si>
  <si>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</si>
  <si>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</si>
  <si>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</si>
  <si>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</si>
  <si>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</si>
  <si>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</si>
  <si>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</si>
  <si>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</si>
  <si>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</si>
  <si>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</si>
  <si>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</si>
  <si>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</si>
  <si>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</si>
  <si>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</si>
  <si>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</si>
  <si>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</si>
  <si>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</si>
  <si>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</si>
  <si>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</si>
  <si>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</si>
  <si>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</si>
  <si>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</si>
  <si>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</si>
  <si>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</si>
  <si>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</si>
  <si>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</si>
  <si>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</si>
  <si>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</si>
  <si>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</si>
  <si>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</si>
  <si>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</si>
  <si>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</si>
  <si>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</si>
  <si>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</si>
  <si>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</si>
  <si>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</si>
  <si>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</si>
  <si>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</si>
  <si>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</si>
  <si>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</si>
  <si>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</si>
  <si>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</si>
  <si>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</si>
  <si>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</si>
  <si>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</si>
  <si>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</si>
  <si>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</si>
  <si>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</si>
  <si>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</si>
  <si>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</si>
  <si>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</si>
  <si>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</si>
  <si>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</si>
  <si>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</si>
  <si>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</si>
  <si>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</si>
  <si>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</si>
  <si>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</si>
  <si>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</si>
  <si>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</si>
  <si>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</si>
  <si>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</si>
  <si>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</si>
  <si>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</si>
  <si>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</si>
  <si>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</si>
  <si>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</si>
  <si>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</si>
  <si>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</si>
  <si>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</si>
  <si>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</si>
  <si>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</si>
  <si>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</si>
  <si>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</si>
  <si>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</si>
  <si>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</si>
  <si>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</si>
  <si>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</si>
  <si>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</si>
  <si>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</si>
  <si>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</si>
  <si>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</si>
  <si>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</si>
  <si>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</si>
  <si>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</si>
  <si>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</si>
  <si>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</si>
  <si>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</si>
  <si>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</si>
  <si>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</si>
  <si>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</si>
  <si>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</si>
  <si>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</si>
  <si>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</si>
  <si>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</si>
  <si>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</si>
  <si>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</si>
  <si>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</si>
  <si>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</si>
  <si>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</si>
  <si>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</si>
  <si>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</si>
  <si>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</si>
  <si>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</si>
  <si>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</si>
  <si>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</si>
  <si>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</si>
  <si>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</si>
  <si>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</si>
  <si>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</si>
  <si>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</si>
  <si>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</si>
  <si>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</si>
  <si>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</si>
  <si>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</si>
  <si>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</si>
  <si>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</si>
  <si>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</si>
  <si>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</si>
  <si>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</si>
  <si>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</si>
  <si>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</si>
  <si>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</si>
  <si>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</si>
  <si>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</si>
  <si>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</si>
  <si>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</si>
  <si>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</si>
  <si>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</si>
  <si>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</si>
  <si>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</si>
  <si>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</si>
  <si>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</si>
  <si>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</si>
  <si>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</si>
  <si>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</si>
  <si>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</si>
  <si>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</si>
  <si>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</si>
  <si>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</si>
  <si>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</si>
  <si>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</si>
  <si>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</si>
  <si>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</si>
  <si>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</si>
  <si>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</si>
  <si>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</si>
  <si>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</si>
  <si>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</si>
  <si>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</si>
  <si>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</si>
  <si>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</si>
  <si>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</si>
  <si>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</si>
  <si>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</si>
  <si>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</si>
  <si>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</si>
  <si>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</si>
  <si>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</si>
  <si>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</si>
  <si>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</si>
  <si>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</si>
  <si>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</si>
  <si>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</si>
  <si>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</si>
  <si>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</si>
  <si>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</si>
  <si>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</si>
  <si>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</si>
  <si>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</si>
  <si>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</si>
  <si>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</si>
  <si>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</si>
  <si>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</si>
  <si>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</si>
  <si>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</si>
  <si>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</si>
  <si>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</si>
  <si>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</si>
  <si>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</si>
  <si>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</si>
  <si>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</si>
  <si>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</si>
  <si>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</si>
  <si>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</si>
  <si>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</si>
  <si>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</si>
  <si>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</si>
  <si>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</si>
  <si>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</si>
  <si>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</si>
  <si>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</si>
  <si>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</si>
  <si>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</si>
  <si>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</si>
  <si>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</si>
  <si>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</si>
  <si>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</si>
  <si>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</si>
  <si>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</si>
  <si>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</si>
  <si>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</si>
  <si>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</si>
  <si>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</si>
  <si>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</si>
  <si>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</si>
  <si>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</si>
  <si>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</si>
  <si>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</si>
  <si>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</si>
  <si>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</si>
  <si>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</si>
  <si>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</si>
  <si>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</si>
  <si>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</si>
  <si>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</si>
  <si>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</si>
  <si>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</si>
  <si>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</si>
  <si>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</si>
  <si>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</si>
  <si>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</si>
  <si>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</si>
  <si>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</si>
  <si>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</si>
  <si>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</si>
  <si>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</si>
  <si>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</si>
  <si>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</si>
  <si>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</si>
  <si>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</si>
  <si>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</si>
  <si>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</si>
  <si>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</si>
  <si>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</si>
  <si>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</si>
  <si>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</si>
  <si>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</si>
  <si>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</si>
  <si>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</si>
  <si>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</si>
  <si>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</si>
  <si>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</si>
  <si>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</si>
  <si>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</si>
  <si>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</si>
  <si>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</si>
  <si>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</si>
  <si>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</si>
  <si>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</si>
  <si>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</si>
  <si>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</si>
  <si>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</si>
  <si>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</si>
  <si>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</si>
  <si>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</si>
  <si>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</si>
  <si>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</si>
  <si>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</si>
  <si>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</si>
  <si>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</si>
  <si>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</si>
  <si>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</si>
  <si>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</si>
  <si>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</si>
  <si>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</si>
  <si>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</si>
  <si>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</si>
  <si>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</si>
  <si>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</si>
  <si>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</si>
  <si>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</si>
  <si>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</si>
  <si>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</si>
  <si>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</si>
  <si>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</si>
  <si>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</si>
  <si>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</si>
  <si>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</si>
  <si>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</si>
  <si>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</si>
  <si>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</si>
  <si>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</si>
  <si>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</si>
  <si>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</si>
  <si>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</si>
  <si>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</si>
  <si>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</si>
  <si>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</si>
  <si>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</si>
  <si>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</si>
  <si>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</si>
  <si>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</si>
  <si>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</si>
  <si>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</si>
  <si>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</si>
  <si>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</si>
  <si>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</si>
  <si>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</si>
  <si>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</si>
  <si>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</si>
  <si>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</si>
  <si>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</si>
  <si>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</si>
  <si>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</si>
  <si>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</si>
  <si>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</si>
  <si>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</si>
  <si>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</si>
  <si>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</si>
  <si>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</si>
  <si>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</si>
  <si>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</si>
  <si>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</si>
  <si>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</si>
  <si>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</si>
  <si>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</si>
  <si>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</si>
  <si>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</si>
  <si>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</si>
  <si>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</si>
  <si>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</si>
  <si>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</si>
  <si>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</si>
  <si>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</si>
  <si>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</si>
  <si>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</si>
  <si>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</si>
  <si>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</si>
  <si>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</si>
  <si>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</si>
  <si>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</si>
  <si>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</si>
  <si>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</si>
  <si>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</si>
  <si>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</si>
  <si>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</si>
  <si>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</si>
  <si>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</si>
  <si>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</si>
  <si>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</si>
  <si>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</si>
  <si>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</si>
  <si>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</si>
  <si>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</si>
  <si>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</si>
  <si>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</si>
  <si>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</si>
  <si>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</si>
  <si>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</si>
  <si>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</si>
  <si>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</si>
  <si>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</si>
  <si>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</si>
  <si>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</si>
  <si>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</si>
  <si>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</si>
  <si>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</si>
  <si>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</si>
  <si>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</si>
  <si>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</si>
  <si>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</si>
  <si>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</si>
  <si>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</si>
  <si>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</si>
  <si>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</si>
  <si>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</si>
  <si>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</si>
  <si>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</si>
  <si>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</si>
  <si>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</si>
  <si>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</si>
  <si>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</si>
  <si>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</si>
  <si>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</si>
  <si>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</si>
  <si>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</si>
  <si>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</si>
  <si>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</si>
  <si>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</si>
  <si>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</si>
  <si>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</si>
  <si>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</si>
  <si>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</si>
  <si>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</si>
  <si>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</si>
  <si>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</si>
  <si>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</si>
  <si>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</si>
  <si>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</si>
  <si>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</si>
  <si>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</si>
  <si>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</si>
  <si>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</si>
  <si>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</si>
  <si>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</si>
  <si>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</si>
  <si>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</si>
  <si>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</si>
  <si>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</si>
  <si>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</si>
  <si>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</si>
  <si>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</si>
  <si>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</si>
  <si>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</si>
  <si>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</si>
  <si>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</si>
  <si>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</si>
  <si>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</si>
  <si>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</si>
  <si>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</si>
  <si>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</si>
  <si>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</si>
  <si>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</si>
  <si>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</si>
  <si>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</si>
  <si>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</si>
  <si>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</si>
  <si>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</si>
  <si>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</si>
  <si>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</si>
  <si>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</si>
  <si>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</si>
  <si>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</si>
  <si>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</si>
  <si>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</si>
  <si>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</si>
  <si>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</si>
  <si>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</si>
  <si>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</si>
  <si>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</si>
  <si>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</si>
  <si>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</si>
  <si>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</si>
  <si>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</si>
  <si>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</si>
  <si>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</si>
  <si>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</si>
  <si>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</si>
  <si>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</si>
  <si>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</si>
  <si>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</si>
  <si>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</si>
  <si>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</si>
  <si>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</si>
  <si>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</si>
  <si>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</si>
  <si>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</si>
  <si>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</si>
  <si>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</si>
  <si>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</si>
  <si>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</si>
  <si>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</si>
  <si>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</si>
  <si>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</si>
  <si>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</si>
  <si>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</si>
  <si>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</si>
  <si>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</si>
  <si>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</si>
  <si>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</si>
  <si>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</si>
  <si>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</si>
  <si>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</si>
  <si>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</si>
  <si>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</si>
  <si>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</si>
  <si>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</si>
  <si>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</si>
  <si>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</si>
  <si>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</si>
  <si>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</si>
  <si>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</si>
  <si>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</si>
  <si>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</si>
  <si>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</si>
  <si>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</si>
  <si>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</si>
  <si>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</si>
  <si>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</si>
  <si>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</si>
  <si>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</si>
  <si>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</si>
  <si>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</si>
  <si>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</si>
  <si>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</si>
  <si>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</si>
  <si>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</si>
  <si>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</si>
  <si>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</si>
  <si>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</si>
  <si>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</si>
  <si>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</si>
  <si>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</si>
  <si>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</si>
  <si>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</si>
  <si>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</si>
  <si>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</si>
  <si>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</si>
  <si>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</si>
  <si>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</si>
  <si>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</si>
  <si>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</si>
  <si>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</si>
  <si>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</si>
  <si>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</si>
  <si>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</si>
  <si>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</si>
  <si>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</si>
  <si>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</si>
  <si>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</si>
  <si>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</si>
  <si>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</si>
  <si>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</si>
  <si>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</si>
  <si>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</si>
  <si>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</si>
  <si>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</si>
  <si>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</si>
  <si>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</si>
  <si>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</si>
  <si>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</si>
  <si>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</si>
  <si>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</si>
  <si>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</si>
  <si>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</si>
  <si>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</si>
  <si>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</si>
  <si>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</si>
  <si>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</si>
  <si>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</si>
  <si>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</si>
  <si>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</si>
  <si>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</si>
  <si>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</si>
  <si>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</si>
  <si>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</si>
  <si>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</si>
  <si>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</si>
  <si>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</si>
  <si>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</si>
  <si>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</si>
  <si>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</si>
  <si>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</si>
  <si>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</si>
  <si>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</si>
  <si>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</si>
  <si>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</si>
  <si>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</si>
  <si>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</si>
  <si>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</si>
  <si>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</si>
  <si>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</si>
  <si>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</si>
  <si>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</si>
  <si>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</si>
  <si>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</si>
  <si>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</si>
  <si>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</si>
  <si>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</si>
  <si>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</si>
  <si>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</si>
  <si>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</si>
  <si>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</si>
  <si>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</si>
  <si>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</si>
  <si>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</si>
  <si>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</si>
  <si>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</si>
  <si>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</si>
  <si>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</si>
  <si>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</si>
  <si>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</si>
  <si>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</si>
  <si>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</si>
  <si>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</si>
  <si>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</si>
  <si>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</si>
  <si>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</si>
  <si>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</si>
  <si>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</si>
  <si>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</si>
  <si>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</si>
  <si>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</si>
  <si>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</si>
  <si>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</si>
  <si>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</si>
  <si>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</si>
  <si>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</si>
  <si>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</si>
  <si>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</si>
  <si>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</si>
  <si>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</si>
  <si>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</si>
  <si>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</si>
  <si>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</si>
  <si>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</si>
  <si>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</si>
  <si>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</si>
  <si>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</si>
  <si>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</si>
  <si>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</si>
  <si>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</si>
  <si>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</si>
  <si>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</si>
  <si>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</si>
  <si>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</si>
  <si>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</si>
  <si>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</si>
  <si>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</si>
  <si>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</si>
  <si>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</si>
  <si>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</si>
  <si>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</si>
  <si>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</si>
  <si>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</si>
  <si>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</si>
  <si>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</si>
  <si>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</si>
  <si>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</si>
  <si>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</si>
  <si>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</si>
  <si>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</si>
  <si>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</si>
  <si>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</si>
  <si>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</si>
  <si>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</si>
  <si>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</si>
  <si>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</si>
  <si>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</si>
  <si>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</si>
  <si>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</si>
  <si>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</si>
  <si>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</si>
  <si>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</si>
  <si>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</si>
  <si>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</si>
  <si>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</si>
  <si>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</si>
  <si>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</si>
  <si>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</si>
  <si>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</si>
  <si>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</si>
  <si>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</si>
  <si>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</si>
  <si>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</si>
  <si>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</si>
  <si>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</si>
  <si>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</si>
  <si>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</si>
  <si>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</si>
  <si>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</si>
  <si>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</si>
  <si>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</si>
  <si>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</si>
  <si>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</si>
  <si>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</si>
  <si>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</si>
  <si>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</si>
  <si>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</si>
  <si>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</si>
  <si>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</si>
  <si>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</si>
  <si>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</si>
  <si>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</si>
  <si>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</si>
  <si>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</si>
  <si>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</si>
  <si>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</si>
  <si>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</si>
  <si>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</si>
  <si>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</si>
  <si>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</si>
  <si>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</si>
  <si>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</si>
  <si>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</si>
  <si>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</si>
  <si>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</si>
  <si>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</si>
  <si>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</si>
  <si>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</si>
  <si>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</si>
  <si>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</si>
  <si>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</si>
  <si>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</si>
  <si>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</si>
  <si>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</si>
  <si>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</si>
  <si>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</si>
  <si>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</si>
  <si>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</si>
  <si>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</si>
  <si>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</si>
  <si>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</si>
  <si>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</si>
  <si>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</si>
  <si>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</si>
  <si>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</si>
  <si>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</si>
  <si>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</si>
  <si>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</si>
  <si>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</si>
  <si>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</si>
  <si>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</si>
  <si>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</si>
  <si>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</si>
  <si>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</si>
  <si>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</si>
  <si>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</si>
  <si>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</si>
  <si>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</si>
  <si>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</si>
  <si>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</si>
  <si>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</si>
  <si>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</si>
  <si>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</si>
  <si>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</si>
  <si>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</si>
  <si>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</si>
  <si>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</si>
  <si>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</si>
  <si>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</si>
  <si>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</si>
  <si>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</si>
  <si>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</si>
  <si>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</si>
  <si>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</si>
  <si>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</si>
  <si>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</si>
  <si>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</si>
  <si>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</si>
  <si>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</si>
  <si>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</si>
  <si>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</si>
  <si>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</si>
  <si>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</si>
  <si>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</si>
  <si>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</si>
  <si>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</si>
  <si>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</si>
  <si>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</si>
  <si>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</si>
  <si>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</si>
  <si>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</si>
  <si>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</si>
  <si>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</si>
  <si>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</si>
  <si>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</si>
  <si>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</si>
  <si>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</si>
  <si>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</si>
  <si>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</si>
  <si>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</si>
  <si>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</si>
  <si>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</si>
  <si>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</si>
  <si>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</si>
  <si>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</si>
  <si>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</si>
  <si>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</si>
  <si>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</si>
  <si>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</si>
  <si>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</si>
  <si>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</si>
  <si>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</si>
  <si>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</si>
  <si>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</si>
  <si>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</si>
  <si>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</si>
  <si>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</si>
  <si>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</si>
  <si>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</si>
  <si>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</si>
  <si>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</si>
  <si>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</si>
  <si>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</si>
  <si>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</si>
  <si>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</si>
  <si>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</si>
  <si>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</si>
  <si>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</si>
  <si>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</si>
  <si>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</si>
  <si>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</si>
  <si>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</si>
  <si>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</si>
  <si>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</si>
  <si>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</si>
  <si>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</si>
  <si>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</si>
  <si>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</si>
  <si>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</si>
  <si>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</si>
  <si>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</si>
  <si>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</si>
  <si>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</si>
  <si>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</si>
  <si>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</si>
  <si>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</si>
  <si>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</si>
  <si>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</si>
  <si>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</si>
  <si>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</si>
  <si>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</si>
  <si>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</si>
  <si>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</si>
  <si>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</si>
  <si>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</si>
  <si>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</si>
  <si>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</si>
  <si>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</si>
  <si>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</si>
  <si>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</si>
  <si>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</si>
  <si>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</si>
  <si>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</si>
  <si>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</si>
  <si>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</si>
  <si>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</si>
  <si>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</si>
  <si>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</si>
  <si>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</si>
  <si>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</si>
  <si>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</si>
  <si>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</si>
  <si>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</si>
  <si>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</si>
  <si>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</si>
  <si>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</si>
  <si>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</si>
  <si>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</si>
  <si>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</si>
  <si>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</si>
  <si>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</si>
  <si>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</si>
  <si>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</si>
  <si>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</si>
  <si>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</si>
  <si>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</si>
  <si>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</si>
  <si>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</si>
  <si>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</si>
  <si>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</si>
  <si>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</si>
  <si>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</si>
  <si>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</si>
  <si>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</si>
  <si>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</si>
  <si>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</si>
  <si>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</si>
  <si>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</si>
  <si>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</si>
  <si>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</si>
  <si>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</si>
  <si>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</si>
  <si>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</si>
  <si>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</si>
  <si>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</si>
  <si>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</si>
  <si>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</si>
  <si>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</si>
  <si>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</si>
  <si>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</si>
  <si>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</si>
  <si>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</si>
  <si>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</si>
  <si>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</si>
  <si>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</si>
  <si>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</si>
  <si>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</si>
  <si>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</si>
  <si>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</si>
  <si>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</si>
  <si>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</si>
  <si>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</si>
  <si>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</si>
  <si>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</si>
  <si>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</si>
  <si>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</si>
  <si>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</si>
  <si>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</si>
  <si>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</si>
  <si>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</si>
  <si>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</si>
  <si>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</si>
  <si>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</si>
  <si>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</si>
  <si>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</si>
  <si>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</si>
  <si>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</si>
  <si>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</si>
  <si>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</si>
  <si>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</si>
  <si>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</si>
  <si>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</si>
  <si>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</si>
  <si>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</si>
  <si>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</si>
  <si>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</si>
  <si>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</si>
  <si>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</si>
  <si>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</si>
  <si>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</si>
  <si>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</si>
  <si>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</si>
  <si>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</si>
  <si>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</si>
  <si>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</si>
  <si>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</si>
  <si>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</si>
  <si>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</si>
  <si>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</si>
  <si>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</si>
  <si>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</si>
  <si>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</si>
  <si>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</si>
  <si>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</si>
  <si>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</si>
  <si>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</si>
  <si>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</si>
  <si>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</si>
  <si>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</si>
  <si>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</si>
  <si>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</si>
  <si>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</si>
  <si>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</si>
  <si>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</si>
  <si>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</si>
  <si>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</si>
  <si>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</si>
  <si>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</si>
  <si>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</si>
  <si>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</si>
  <si>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</si>
  <si>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</si>
  <si>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</si>
  <si>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</si>
  <si>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</si>
  <si>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</si>
  <si>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</si>
  <si>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</si>
  <si>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</si>
  <si>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</si>
  <si>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</si>
  <si>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</si>
  <si>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</si>
  <si>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</si>
  <si>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</si>
  <si>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</si>
  <si>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</si>
  <si>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</si>
  <si>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</si>
  <si>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</si>
  <si>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</si>
  <si>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</si>
  <si>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</si>
  <si>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</si>
  <si>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</si>
  <si>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</si>
  <si>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</si>
  <si>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</si>
  <si>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</si>
  <si>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</si>
  <si>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</si>
  <si>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</si>
  <si>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</si>
  <si>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</si>
  <si>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</si>
  <si>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</si>
  <si>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</si>
  <si>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</si>
  <si>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</si>
  <si>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</si>
  <si>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</si>
  <si>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</si>
  <si>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</si>
  <si>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</si>
  <si>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</si>
  <si>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</si>
  <si>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</si>
  <si>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</si>
  <si>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</si>
  <si>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</si>
  <si>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</si>
  <si>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</si>
  <si>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</si>
  <si>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</si>
  <si>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</si>
  <si>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</si>
  <si>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</si>
  <si>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</si>
  <si>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</si>
  <si>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</si>
  <si>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</si>
  <si>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</si>
  <si>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</si>
  <si>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</si>
  <si>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</si>
  <si>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</si>
  <si>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</si>
  <si>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</si>
  <si>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</si>
  <si>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</si>
  <si>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</si>
  <si>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</si>
  <si>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</si>
  <si>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</si>
  <si>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</si>
  <si>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</si>
  <si>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</si>
  <si>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</si>
  <si>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</si>
  <si>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</si>
  <si>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</si>
  <si>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</si>
  <si>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</si>
  <si>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</si>
  <si>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</si>
  <si>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</si>
  <si>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</si>
  <si>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</si>
  <si>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</si>
  <si>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</si>
  <si>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</si>
  <si>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</si>
  <si>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</si>
  <si>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</si>
  <si>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</si>
  <si>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</si>
  <si>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</si>
  <si>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</si>
  <si>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</si>
  <si>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</si>
  <si>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</si>
  <si>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</si>
  <si>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</si>
  <si>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</si>
  <si>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</si>
  <si>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</si>
  <si>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</si>
  <si>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</si>
  <si>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</si>
  <si>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</si>
  <si>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</si>
  <si>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</si>
  <si>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</si>
  <si>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</si>
  <si>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</si>
  <si>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</si>
  <si>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</si>
  <si>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</si>
  <si>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</si>
  <si>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</si>
  <si>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</si>
  <si>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</si>
  <si>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</si>
  <si>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</si>
  <si>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</si>
  <si>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</si>
  <si>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</si>
  <si>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</si>
  <si>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</si>
  <si>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</si>
  <si>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</si>
  <si>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</si>
  <si>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</si>
  <si>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</si>
  <si>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</si>
  <si>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</si>
  <si>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</si>
  <si>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</si>
  <si>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</si>
  <si>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</si>
  <si>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</si>
  <si>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</si>
  <si>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</si>
  <si>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</si>
  <si>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</si>
  <si>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</si>
  <si>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</si>
  <si>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</si>
  <si>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</si>
  <si>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</si>
  <si>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</si>
  <si>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</si>
  <si>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</si>
  <si>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</si>
  <si>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</si>
  <si>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</si>
  <si>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</si>
  <si>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</si>
  <si>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</si>
  <si>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</si>
  <si>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</si>
  <si>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</si>
  <si>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</si>
  <si>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</si>
  <si>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</si>
  <si>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</si>
  <si>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</si>
  <si>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</si>
  <si>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</si>
  <si>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</si>
  <si>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</si>
  <si>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</si>
  <si>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</si>
  <si>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</si>
  <si>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</si>
  <si>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</si>
  <si>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</si>
  <si>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</si>
  <si>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</si>
  <si>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</si>
  <si>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</si>
  <si>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</si>
  <si>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</si>
  <si>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</si>
  <si>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</si>
  <si>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</si>
  <si>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</si>
  <si>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</si>
  <si>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</si>
  <si>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</si>
  <si>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</si>
  <si>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</si>
  <si>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</si>
  <si>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</si>
  <si>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</si>
  <si>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</si>
  <si>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</si>
  <si>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</si>
  <si>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</si>
  <si>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</si>
  <si>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</si>
  <si>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</si>
  <si>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</si>
  <si>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</si>
  <si>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</si>
  <si>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</si>
  <si>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</si>
  <si>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</si>
  <si>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</si>
  <si>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</si>
  <si>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</si>
  <si>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</si>
  <si>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</si>
  <si>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</si>
  <si>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</si>
  <si>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</si>
  <si>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</si>
  <si>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</si>
  <si>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</si>
  <si>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</si>
  <si>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</si>
  <si>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</si>
  <si>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</si>
  <si>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</si>
  <si>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</si>
  <si>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</si>
  <si>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</si>
  <si>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</si>
  <si>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</si>
  <si>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</si>
  <si>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</si>
  <si>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</si>
  <si>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</si>
  <si>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</si>
  <si>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</si>
  <si>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</si>
  <si>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</si>
  <si>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</si>
  <si>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</si>
  <si>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</si>
  <si>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</si>
  <si>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</si>
  <si>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</si>
  <si>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</si>
  <si>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</si>
  <si>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</si>
  <si>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</si>
  <si>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</si>
  <si>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</si>
  <si>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</si>
  <si>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</si>
  <si>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</si>
  <si>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</si>
  <si>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</si>
  <si>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</si>
  <si>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</si>
  <si>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</si>
  <si>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</si>
  <si>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</si>
  <si>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</si>
  <si>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</si>
  <si>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</si>
  <si>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</si>
  <si>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</si>
  <si>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</si>
  <si>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</si>
  <si>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</si>
  <si>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</si>
  <si>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</si>
  <si>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</si>
  <si>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</si>
  <si>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</si>
  <si>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</si>
  <si>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</si>
  <si>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</si>
  <si>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</si>
  <si>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</si>
  <si>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</si>
  <si>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</si>
  <si>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</si>
  <si>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</si>
  <si>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</si>
  <si>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</si>
  <si>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</si>
  <si>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</si>
  <si>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</si>
  <si>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</si>
  <si>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</si>
  <si>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</si>
  <si>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</si>
  <si>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</si>
  <si>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</si>
  <si>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</si>
  <si>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</si>
  <si>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</si>
  <si>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</si>
  <si>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</si>
  <si>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</si>
  <si>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</si>
  <si>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</si>
  <si>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</si>
  <si>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</si>
  <si>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</si>
  <si>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</si>
  <si>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</si>
  <si>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</si>
  <si>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</si>
  <si>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</si>
  <si>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</si>
  <si>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</si>
  <si>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</si>
  <si>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</si>
  <si>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</si>
  <si>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</si>
  <si>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</si>
  <si>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</si>
  <si>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</si>
  <si>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</si>
  <si>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</si>
  <si>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</si>
  <si>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</si>
  <si>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</si>
  <si>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</si>
  <si>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</si>
  <si>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</si>
  <si>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</si>
  <si>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</si>
  <si>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</si>
  <si>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</si>
  <si>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</si>
  <si>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</si>
  <si>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</si>
  <si>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</si>
  <si>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</si>
  <si>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</si>
  <si>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</si>
  <si>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</si>
  <si>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</si>
  <si>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</si>
  <si>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</si>
  <si>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</si>
  <si>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</si>
  <si>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</si>
  <si>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</si>
  <si>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</si>
  <si>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</si>
  <si>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</si>
  <si>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</si>
  <si>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</si>
  <si>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</si>
  <si>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</si>
  <si>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</si>
  <si>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</si>
  <si>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</si>
  <si>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</si>
  <si>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</si>
  <si>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</si>
  <si>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</si>
  <si>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</si>
  <si>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</si>
  <si>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</si>
  <si>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</si>
  <si>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</si>
  <si>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</si>
  <si>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</si>
  <si>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</si>
  <si>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</si>
  <si>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</si>
  <si>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</si>
  <si>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</si>
  <si>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</si>
  <si>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</si>
  <si>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</si>
  <si>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</si>
  <si>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</si>
  <si>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</si>
  <si>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</si>
  <si>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</si>
  <si>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</si>
  <si>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</si>
  <si>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</si>
  <si>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</si>
  <si>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</si>
  <si>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</si>
  <si>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</si>
  <si>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</si>
  <si>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</si>
  <si>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</si>
  <si>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</si>
  <si>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</si>
  <si>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</si>
  <si>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</si>
  <si>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</si>
  <si>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</si>
  <si>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</si>
  <si>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</si>
  <si>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</si>
  <si>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</si>
  <si>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</si>
  <si>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</si>
  <si>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</si>
  <si>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</si>
  <si>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</si>
  <si>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</si>
  <si>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</si>
  <si>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</si>
  <si>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</si>
  <si>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</si>
  <si>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</si>
  <si>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</si>
  <si>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</si>
  <si>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</si>
  <si>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</si>
  <si>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</si>
  <si>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</si>
  <si>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</si>
  <si>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</si>
  <si>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</si>
  <si>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</si>
  <si>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</si>
  <si>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</si>
  <si>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</si>
  <si>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</si>
  <si>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</si>
  <si>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</si>
  <si>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</si>
  <si>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</si>
  <si>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</si>
  <si>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</si>
  <si>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</si>
  <si>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</si>
  <si>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</si>
  <si>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</si>
  <si>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</si>
  <si>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</si>
  <si>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</si>
  <si>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</si>
  <si>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</si>
  <si>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</si>
  <si>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</si>
  <si>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</si>
  <si>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</si>
  <si>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</si>
  <si>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</si>
  <si>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</si>
  <si>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</si>
  <si>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</si>
  <si>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</si>
  <si>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</si>
  <si>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</si>
  <si>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</si>
  <si>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</si>
  <si>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</si>
  <si>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</si>
  <si>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</si>
  <si>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</si>
  <si>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</si>
  <si>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</si>
  <si>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</si>
  <si>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</si>
  <si>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</si>
  <si>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</si>
  <si>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</si>
  <si>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</si>
  <si>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</si>
  <si>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</si>
  <si>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</si>
  <si>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</si>
  <si>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</si>
  <si>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</si>
  <si>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</si>
  <si>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</si>
  <si>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</si>
  <si>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</si>
  <si>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</si>
  <si>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</si>
  <si>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</si>
  <si>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</si>
  <si>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</si>
  <si>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</si>
  <si>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</si>
  <si>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</si>
  <si>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</si>
  <si>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</si>
  <si>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</si>
  <si>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</si>
  <si>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</si>
  <si>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</si>
  <si>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</si>
  <si>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</si>
  <si>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</si>
  <si>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</si>
  <si>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</si>
  <si>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</si>
  <si>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</si>
  <si>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</si>
  <si>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</si>
  <si>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</si>
  <si>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</si>
  <si>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</si>
  <si>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</si>
  <si>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</si>
  <si>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</si>
  <si>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</si>
  <si>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</si>
  <si>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</si>
  <si>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</si>
  <si>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</si>
  <si>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</si>
  <si>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</si>
  <si>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</si>
  <si>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</si>
  <si>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</si>
  <si>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</si>
  <si>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</si>
  <si>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</si>
  <si>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</si>
  <si>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</si>
  <si>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</si>
  <si>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</si>
  <si>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</si>
  <si>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</si>
  <si>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</si>
  <si>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</si>
  <si>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</si>
  <si>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</si>
  <si>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</si>
  <si>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</si>
  <si>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</si>
  <si>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</si>
  <si>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</si>
  <si>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</si>
  <si>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</si>
  <si>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</si>
  <si>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</si>
  <si>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</si>
  <si>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</si>
  <si>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</si>
  <si>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</si>
  <si>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</si>
  <si>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</si>
  <si>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</si>
  <si>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</si>
  <si>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</si>
  <si>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</si>
  <si>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</si>
  <si>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</si>
  <si>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</si>
  <si>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</si>
  <si>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</si>
  <si>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</si>
  <si>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</si>
  <si>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</si>
  <si>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</si>
  <si>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</si>
  <si>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</si>
  <si>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</si>
  <si>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</si>
  <si>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</si>
  <si>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</si>
  <si>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</si>
  <si>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</si>
  <si>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</si>
  <si>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</si>
  <si>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</si>
  <si>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</si>
  <si>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</si>
  <si>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</si>
  <si>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</si>
  <si>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</si>
  <si>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</si>
  <si>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</si>
  <si>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</si>
  <si>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</si>
  <si>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</si>
  <si>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</si>
  <si>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</si>
  <si>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</si>
  <si>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</si>
  <si>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</si>
  <si>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</si>
  <si>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</si>
  <si>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</si>
  <si>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</si>
  <si>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</si>
  <si>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</si>
  <si>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</si>
  <si>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</si>
  <si>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</si>
  <si>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</si>
  <si>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</si>
  <si>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</si>
  <si>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</si>
  <si>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</si>
  <si>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</si>
  <si>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</si>
  <si>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</si>
  <si>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</si>
  <si>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</si>
  <si>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</si>
  <si>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</si>
  <si>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</si>
  <si>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</si>
  <si>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</si>
  <si>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</si>
  <si>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</si>
  <si>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</si>
  <si>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</si>
  <si>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</si>
  <si>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</si>
  <si>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</si>
  <si>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</si>
  <si>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</si>
  <si>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</si>
  <si>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</si>
  <si>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</si>
  <si>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</si>
  <si>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</si>
  <si>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</si>
  <si>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</si>
  <si>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</si>
  <si>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</si>
  <si>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</si>
  <si>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</si>
  <si>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</si>
  <si>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</si>
  <si>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</si>
  <si>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</si>
  <si>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</si>
  <si>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</si>
  <si>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</si>
  <si>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</si>
  <si>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</si>
  <si>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</si>
  <si>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</si>
  <si>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</si>
  <si>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</si>
  <si>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</si>
  <si>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</si>
  <si>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</si>
  <si>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</si>
  <si>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</si>
  <si>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</si>
  <si>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</si>
  <si>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</si>
  <si>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</si>
  <si>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</si>
  <si>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</si>
  <si>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</si>
  <si>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</si>
  <si>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</si>
  <si>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</si>
  <si>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</si>
  <si>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</si>
  <si>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</si>
  <si>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</si>
  <si>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</si>
  <si>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</si>
  <si>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</si>
  <si>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</si>
  <si>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</si>
  <si>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</si>
  <si>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</si>
  <si>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</si>
  <si>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</si>
  <si>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</si>
  <si>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</si>
  <si>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</si>
  <si>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</si>
  <si>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</si>
  <si>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</si>
  <si>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</si>
  <si>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</si>
  <si>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</si>
  <si>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</si>
  <si>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</si>
  <si>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</si>
  <si>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</si>
  <si>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</si>
  <si>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</si>
  <si>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</si>
  <si>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</si>
  <si>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</si>
  <si>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</si>
  <si>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</si>
  <si>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</si>
  <si>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</si>
  <si>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</si>
  <si>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</si>
  <si>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</si>
  <si>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</si>
  <si>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</si>
  <si>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</si>
  <si>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</si>
  <si>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</si>
  <si>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</si>
  <si>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</si>
  <si>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</si>
  <si>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</si>
  <si>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</si>
  <si>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</si>
  <si>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</si>
  <si>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</si>
  <si>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</si>
  <si>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</si>
  <si>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</si>
  <si>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</si>
  <si>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</si>
  <si>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</si>
  <si>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</si>
  <si>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</si>
  <si>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</si>
  <si>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</si>
  <si>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</si>
  <si>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</si>
  <si>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</si>
  <si>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</si>
  <si>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</si>
  <si>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</si>
  <si>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</si>
  <si>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</si>
  <si>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</si>
  <si>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</si>
  <si>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</si>
  <si>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</si>
  <si>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</si>
  <si>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</si>
  <si>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</si>
  <si>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</si>
  <si>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</si>
  <si>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</si>
  <si>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</si>
  <si>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</si>
  <si>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</si>
  <si>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</si>
  <si>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</si>
  <si>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</si>
  <si>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</si>
  <si>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</si>
  <si>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</si>
  <si>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</si>
  <si>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</si>
  <si>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</si>
  <si>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</si>
  <si>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</si>
  <si>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</si>
  <si>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</si>
  <si>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</si>
  <si>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</si>
  <si>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</si>
  <si>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</si>
  <si>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</si>
  <si>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</si>
  <si>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</si>
  <si>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</si>
  <si>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</si>
  <si>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</si>
  <si>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</si>
  <si>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</si>
  <si>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</si>
  <si>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</si>
  <si>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</si>
  <si>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</si>
  <si>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</si>
  <si>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</si>
  <si>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</si>
  <si>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</si>
  <si>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</si>
  <si>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</si>
  <si>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</si>
  <si>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</si>
  <si>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</si>
  <si>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</si>
  <si>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</si>
  <si>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</si>
  <si>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</si>
  <si>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</si>
  <si>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</si>
  <si>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</si>
  <si>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</si>
  <si>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</si>
  <si>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</si>
  <si>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</si>
  <si>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</si>
  <si>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</si>
  <si>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</si>
  <si>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</si>
  <si>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</si>
  <si>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</si>
  <si>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</si>
  <si>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</si>
  <si>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</si>
  <si>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</si>
  <si>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</si>
  <si>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</si>
  <si>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</si>
  <si>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</si>
  <si>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</si>
  <si>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</si>
  <si>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</si>
  <si>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</si>
  <si>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</si>
  <si>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</si>
  <si>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</si>
  <si>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</si>
  <si>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</si>
  <si>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</si>
  <si>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</si>
  <si>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</si>
  <si>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</si>
  <si>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</si>
  <si>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</si>
  <si>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</si>
  <si>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</si>
  <si>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</si>
  <si>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</si>
  <si>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</si>
  <si>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</si>
  <si>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</si>
  <si>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</si>
  <si>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</si>
  <si>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</si>
  <si>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</si>
  <si>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</si>
  <si>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</si>
  <si>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</si>
  <si>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</si>
  <si>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</si>
  <si>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</si>
  <si>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</si>
  <si>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</si>
  <si>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</si>
  <si>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</si>
  <si>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</si>
  <si>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</si>
  <si>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</si>
  <si>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</si>
  <si>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</si>
  <si>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</si>
  <si>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</si>
  <si>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</si>
  <si>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</si>
  <si>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</si>
  <si>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</si>
  <si>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</si>
  <si>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</si>
  <si>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</si>
  <si>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</si>
  <si>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</si>
  <si>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</si>
  <si>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</si>
  <si>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</si>
  <si>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</si>
  <si>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</si>
  <si>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</si>
  <si>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</si>
  <si>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</si>
  <si>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</si>
  <si>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</si>
  <si>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</si>
  <si>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</si>
  <si>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</si>
  <si>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</si>
  <si>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</si>
  <si>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</si>
  <si>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</si>
  <si>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</si>
  <si>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</si>
  <si>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</si>
  <si>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</si>
  <si>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</si>
  <si>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</si>
  <si>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</si>
  <si>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</si>
  <si>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</si>
  <si>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</si>
  <si>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</si>
  <si>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</si>
  <si>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</si>
  <si>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</si>
  <si>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</si>
  <si>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</si>
  <si>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</si>
  <si>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</si>
  <si>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</si>
  <si>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</si>
  <si>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</si>
  <si>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</si>
  <si>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</si>
  <si>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</si>
  <si>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</si>
  <si>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</si>
  <si>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</si>
  <si>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</si>
  <si>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</si>
  <si>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</si>
  <si>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</si>
  <si>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</si>
  <si>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</si>
  <si>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</si>
  <si>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</si>
  <si>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</si>
  <si>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</si>
  <si>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</si>
  <si>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</si>
  <si>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</si>
  <si>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</si>
  <si>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</si>
  <si>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</si>
  <si>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</si>
  <si>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</si>
  <si>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</si>
  <si>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</si>
  <si>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</si>
  <si>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</si>
  <si>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</si>
  <si>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</si>
  <si>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</si>
  <si>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</si>
  <si>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</si>
  <si>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</si>
  <si>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</si>
  <si>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</si>
  <si>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</si>
  <si>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</si>
  <si>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</si>
  <si>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</si>
  <si>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</si>
  <si>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</si>
  <si>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</si>
  <si>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</si>
  <si>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</si>
  <si>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</si>
  <si>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</si>
  <si>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</si>
  <si>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</si>
  <si>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</si>
  <si>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</si>
  <si>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</si>
  <si>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</si>
  <si>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</si>
  <si>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</si>
  <si>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</si>
  <si>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</si>
  <si>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</si>
  <si>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</si>
  <si>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</si>
  <si>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</si>
  <si>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</si>
  <si>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</si>
  <si>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</si>
  <si>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</si>
  <si>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</si>
  <si>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</si>
  <si>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</si>
  <si>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</si>
  <si>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</si>
  <si>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</si>
  <si>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</si>
  <si>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</si>
  <si>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</si>
  <si>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</si>
  <si>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</si>
  <si>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</si>
  <si>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</si>
  <si>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</si>
  <si>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</si>
  <si>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</si>
  <si>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</si>
  <si>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</si>
  <si>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</si>
  <si>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</si>
  <si>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</si>
  <si>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</si>
  <si>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</si>
  <si>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</si>
  <si>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</si>
  <si>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</si>
  <si>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</si>
  <si>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</si>
  <si>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</si>
  <si>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</si>
  <si>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</si>
  <si>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</si>
  <si>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Qty</t>
  </si>
  <si>
    <t>Avg.Rating</t>
  </si>
  <si>
    <t>Row Labels</t>
  </si>
  <si>
    <t>Grand Total</t>
  </si>
  <si>
    <t>Unknown</t>
  </si>
  <si>
    <t>Male</t>
  </si>
  <si>
    <t>Female</t>
  </si>
  <si>
    <t>Other</t>
  </si>
  <si>
    <t>Column Labels</t>
  </si>
  <si>
    <t>6 to 10</t>
  </si>
  <si>
    <t>More than 10</t>
  </si>
  <si>
    <t>Map Chart Stuff(Qty)</t>
  </si>
  <si>
    <t>Map Chart for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</si>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</sst>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2" x14ac:knownFonts="1">
    <font>
      <sz val="11"/>
      <color theme="1"/>
      <name val="Gill Sans MT"/>
      <family val="2"/>
      <scheme val="minor"/>
    </font>
    <font>
      <b/>
      <sz val="11"/>
      <color theme="1"/>
      <name val="Gill Sans MT"/>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0">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78A88A"/>
      <color rgb="FF7CA4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project.xlsx]Sheet1!pvttrend</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Last</a:t>
            </a:r>
            <a:r>
              <a:rPr lang="en-IN" sz="1800" b="1" baseline="0">
                <a:solidFill>
                  <a:schemeClr val="tx1"/>
                </a:solidFill>
              </a:rPr>
              <a:t> 13 week Trends-Qty&amp; Amount</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Sheet1!$D$16</c:f>
              <c:strCache>
                <c:ptCount val="1"/>
                <c:pt idx="0">
                  <c:v>Sum of Quantity</c:v>
                </c:pt>
              </c:strCache>
            </c:strRef>
          </c:tx>
          <c:spPr>
            <a:ln w="28575" cap="rnd">
              <a:solidFill>
                <a:schemeClr val="accent1"/>
              </a:solidFill>
              <a:round/>
            </a:ln>
            <a:effectLst/>
          </c:spPr>
          <c:marker>
            <c:symbol val="none"/>
          </c:marker>
          <c:cat>
            <c:strRef>
              <c:f>Sheet1!$C$17:$C$30</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Sheet1!$D$17:$D$30</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0239-44B2-8B6D-191F0BC38857}"/>
            </c:ext>
          </c:extLst>
        </c:ser>
        <c:dLbls>
          <c:showLegendKey val="0"/>
          <c:showVal val="0"/>
          <c:showCatName val="0"/>
          <c:showSerName val="0"/>
          <c:showPercent val="0"/>
          <c:showBubbleSize val="0"/>
        </c:dLbls>
        <c:marker val="1"/>
        <c:smooth val="0"/>
        <c:axId val="613456944"/>
        <c:axId val="756875536"/>
      </c:lineChart>
      <c:lineChart>
        <c:grouping val="standard"/>
        <c:varyColors val="0"/>
        <c:ser>
          <c:idx val="1"/>
          <c:order val="1"/>
          <c:tx>
            <c:strRef>
              <c:f>Sheet1!$E$16</c:f>
              <c:strCache>
                <c:ptCount val="1"/>
                <c:pt idx="0">
                  <c:v>Sum of Amount</c:v>
                </c:pt>
              </c:strCache>
            </c:strRef>
          </c:tx>
          <c:spPr>
            <a:ln w="28575" cap="rnd">
              <a:solidFill>
                <a:schemeClr val="accent2"/>
              </a:solidFill>
              <a:round/>
            </a:ln>
            <a:effectLst/>
          </c:spPr>
          <c:marker>
            <c:symbol val="none"/>
          </c:marker>
          <c:cat>
            <c:strRef>
              <c:f>Sheet1!$C$17:$C$30</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Sheet1!$E$17:$E$30</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239-44B2-8B6D-191F0BC38857}"/>
            </c:ext>
          </c:extLst>
        </c:ser>
        <c:dLbls>
          <c:showLegendKey val="0"/>
          <c:showVal val="0"/>
          <c:showCatName val="0"/>
          <c:showSerName val="0"/>
          <c:showPercent val="0"/>
          <c:showBubbleSize val="0"/>
        </c:dLbls>
        <c:marker val="1"/>
        <c:smooth val="0"/>
        <c:axId val="839697552"/>
        <c:axId val="756939376"/>
      </c:lineChart>
      <c:catAx>
        <c:axId val="613456944"/>
        <c:scaling>
          <c:orientation val="minMax"/>
        </c:scaling>
        <c:delete val="0"/>
        <c:axPos val="b"/>
        <c:numFmt formatCode="General" sourceLinked="1"/>
        <c:majorTickMark val="none"/>
        <c:minorTickMark val="none"/>
        <c:tickLblPos val="nextTo"/>
        <c:spPr>
          <a:noFill/>
          <a:ln w="9525" cap="flat" cmpd="sng" algn="ctr">
            <a:noFill/>
            <a:round/>
          </a:ln>
          <a:effectLst>
            <a:outerShdw blurRad="50800" dist="50800" dir="5400000" algn="ctr" rotWithShape="0">
              <a:schemeClr val="bg1"/>
            </a:outerShdw>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756875536"/>
        <c:crosses val="autoZero"/>
        <c:auto val="1"/>
        <c:lblAlgn val="ctr"/>
        <c:lblOffset val="100"/>
        <c:noMultiLvlLbl val="0"/>
      </c:catAx>
      <c:valAx>
        <c:axId val="75687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onsolas" panose="020B0609020204030204" pitchFamily="49" charset="0"/>
                <a:ea typeface="+mn-ea"/>
                <a:cs typeface="+mn-cs"/>
              </a:defRPr>
            </a:pPr>
            <a:endParaRPr lang="en-US"/>
          </a:p>
        </c:txPr>
        <c:crossAx val="613456944"/>
        <c:crosses val="autoZero"/>
        <c:crossBetween val="between"/>
      </c:valAx>
      <c:valAx>
        <c:axId val="756939376"/>
        <c:scaling>
          <c:orientation val="minMax"/>
        </c:scaling>
        <c:delete val="0"/>
        <c:axPos val="r"/>
        <c:numFmt formatCode="&quot;₹&quot;\ #,##0" sourceLinked="1"/>
        <c:majorTickMark val="out"/>
        <c:minorTickMark val="none"/>
        <c:tickLblPos val="nextTo"/>
        <c:spPr>
          <a:noFill/>
          <a:ln w="6350">
            <a:solidFill>
              <a:schemeClr val="tx1">
                <a:lumMod val="95000"/>
                <a:lumOff val="5000"/>
                <a:alpha val="98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697552"/>
        <c:crosses val="max"/>
        <c:crossBetween val="between"/>
      </c:valAx>
      <c:catAx>
        <c:axId val="839697552"/>
        <c:scaling>
          <c:orientation val="minMax"/>
        </c:scaling>
        <c:delete val="1"/>
        <c:axPos val="b"/>
        <c:numFmt formatCode="General" sourceLinked="1"/>
        <c:majorTickMark val="out"/>
        <c:minorTickMark val="none"/>
        <c:tickLblPos val="nextTo"/>
        <c:crossAx val="7569393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project.xlsx]Sheet1!pvtproduct</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Sheet1!$G$33:$G$40</c:f>
              <c:strCache>
                <c:ptCount val="7"/>
                <c:pt idx="0">
                  <c:v>1</c:v>
                </c:pt>
                <c:pt idx="1">
                  <c:v>2</c:v>
                </c:pt>
                <c:pt idx="2">
                  <c:v>3</c:v>
                </c:pt>
                <c:pt idx="3">
                  <c:v>4</c:v>
                </c:pt>
                <c:pt idx="4">
                  <c:v>5</c:v>
                </c:pt>
                <c:pt idx="5">
                  <c:v>6 to 10</c:v>
                </c:pt>
                <c:pt idx="6">
                  <c:v>More than 10</c:v>
                </c:pt>
              </c:strCache>
            </c:strRef>
          </c:cat>
          <c:val>
            <c:numRef>
              <c:f>Sheet1!$H$33:$H$40</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CF8-4863-ABF8-7C3DD3D04AC0}"/>
            </c:ext>
          </c:extLst>
        </c:ser>
        <c:dLbls>
          <c:dLblPos val="outEnd"/>
          <c:showLegendKey val="0"/>
          <c:showVal val="1"/>
          <c:showCatName val="0"/>
          <c:showSerName val="0"/>
          <c:showPercent val="0"/>
          <c:showBubbleSize val="0"/>
        </c:dLbls>
        <c:gapWidth val="219"/>
        <c:overlap val="-27"/>
        <c:axId val="248331984"/>
        <c:axId val="756867376"/>
      </c:barChart>
      <c:catAx>
        <c:axId val="248331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756867376"/>
        <c:crosses val="autoZero"/>
        <c:auto val="1"/>
        <c:lblAlgn val="ctr"/>
        <c:lblOffset val="100"/>
        <c:noMultiLvlLbl val="0"/>
      </c:catAx>
      <c:valAx>
        <c:axId val="7568673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248331984"/>
        <c:crosses val="autoZero"/>
        <c:crossBetween val="between"/>
      </c:valAx>
      <c:spPr>
        <a:solidFill>
          <a:schemeClr val="bg2">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project.xlsx]Sheet1!PivotTable5</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600" b="1">
                <a:solidFill>
                  <a:schemeClr val="tx1"/>
                </a:solidFill>
              </a:rPr>
              <a:t>Which products are Popular? breakdown by Gender</a:t>
            </a:r>
          </a:p>
        </c:rich>
      </c:tx>
      <c:layout>
        <c:manualLayout>
          <c:xMode val="edge"/>
          <c:yMode val="edge"/>
          <c:x val="0.18459699658473713"/>
          <c:y val="4.2754316794771124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517375588699212E-2"/>
          <c:y val="0.17773330447423441"/>
          <c:w val="0.65433183919968563"/>
          <c:h val="0.78689079367189463"/>
        </c:manualLayout>
      </c:layout>
      <c:barChart>
        <c:barDir val="bar"/>
        <c:grouping val="stacked"/>
        <c:varyColors val="0"/>
        <c:ser>
          <c:idx val="0"/>
          <c:order val="0"/>
          <c:tx>
            <c:strRef>
              <c:f>Sheet1!$N$31:$N$32</c:f>
              <c:strCache>
                <c:ptCount val="1"/>
              </c:strCache>
            </c:strRef>
          </c:tx>
          <c:spPr>
            <a:solidFill>
              <a:schemeClr val="accent1"/>
            </a:solidFill>
            <a:ln>
              <a:noFill/>
            </a:ln>
            <a:effectLst/>
          </c:spPr>
          <c:invertIfNegative val="0"/>
          <c:cat>
            <c:strRef>
              <c:f>Sheet1!$M$33:$M$53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Sheet1!$N$33:$N$53</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316A-474D-B106-88C45F64DDA3}"/>
            </c:ext>
          </c:extLst>
        </c:ser>
        <c:ser>
          <c:idx val="1"/>
          <c:order val="1"/>
          <c:tx>
            <c:strRef>
              <c:f>Sheet1!$O$31:$O$32</c:f>
              <c:strCache>
                <c:ptCount val="1"/>
                <c:pt idx="0">
                  <c:v>F</c:v>
                </c:pt>
              </c:strCache>
            </c:strRef>
          </c:tx>
          <c:spPr>
            <a:solidFill>
              <a:schemeClr val="accent2"/>
            </a:solidFill>
            <a:ln>
              <a:noFill/>
            </a:ln>
            <a:effectLst/>
          </c:spPr>
          <c:invertIfNegative val="0"/>
          <c:cat>
            <c:strRef>
              <c:f>Sheet1!$M$33:$M$53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Sheet1!$O$33:$O$53</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1-316A-474D-B106-88C45F64DDA3}"/>
            </c:ext>
          </c:extLst>
        </c:ser>
        <c:ser>
          <c:idx val="2"/>
          <c:order val="2"/>
          <c:tx>
            <c:strRef>
              <c:f>Sheet1!$P$31:$P$32</c:f>
              <c:strCache>
                <c:ptCount val="1"/>
                <c:pt idx="0">
                  <c:v>M</c:v>
                </c:pt>
              </c:strCache>
            </c:strRef>
          </c:tx>
          <c:spPr>
            <a:solidFill>
              <a:schemeClr val="accent3"/>
            </a:solidFill>
            <a:ln>
              <a:noFill/>
            </a:ln>
            <a:effectLst/>
          </c:spPr>
          <c:invertIfNegative val="0"/>
          <c:cat>
            <c:strRef>
              <c:f>Sheet1!$M$33:$M$53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Sheet1!$P$33:$P$53</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2-316A-474D-B106-88C45F64DDA3}"/>
            </c:ext>
          </c:extLst>
        </c:ser>
        <c:ser>
          <c:idx val="3"/>
          <c:order val="3"/>
          <c:tx>
            <c:strRef>
              <c:f>Sheet1!$Q$31:$Q$32</c:f>
              <c:strCache>
                <c:ptCount val="1"/>
                <c:pt idx="0">
                  <c:v>O</c:v>
                </c:pt>
              </c:strCache>
            </c:strRef>
          </c:tx>
          <c:spPr>
            <a:solidFill>
              <a:schemeClr val="accent4"/>
            </a:solidFill>
            <a:ln>
              <a:noFill/>
            </a:ln>
            <a:effectLst/>
          </c:spPr>
          <c:invertIfNegative val="0"/>
          <c:cat>
            <c:strRef>
              <c:f>Sheet1!$M$33:$M$53</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Sheet1!$Q$33:$Q$53</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3-316A-474D-B106-88C45F64DDA3}"/>
            </c:ext>
          </c:extLst>
        </c:ser>
        <c:dLbls>
          <c:showLegendKey val="0"/>
          <c:showVal val="0"/>
          <c:showCatName val="0"/>
          <c:showSerName val="0"/>
          <c:showPercent val="0"/>
          <c:showBubbleSize val="0"/>
        </c:dLbls>
        <c:gapWidth val="150"/>
        <c:overlap val="100"/>
        <c:axId val="833937104"/>
        <c:axId val="756924016"/>
      </c:barChart>
      <c:catAx>
        <c:axId val="833937104"/>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Arial Narrow" panose="020B0606020202030204" pitchFamily="34" charset="0"/>
                <a:ea typeface="+mn-ea"/>
                <a:cs typeface="Times New Roman" panose="02020603050405020304" pitchFamily="18" charset="0"/>
              </a:defRPr>
            </a:pPr>
            <a:endParaRPr lang="en-US"/>
          </a:p>
        </c:txPr>
        <c:crossAx val="756924016"/>
        <c:crosses val="autoZero"/>
        <c:auto val="1"/>
        <c:lblAlgn val="ctr"/>
        <c:lblOffset val="100"/>
        <c:noMultiLvlLbl val="0"/>
      </c:catAx>
      <c:valAx>
        <c:axId val="756924016"/>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3393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project.xlsx]Sheet1!PivotTable6</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Sheet1!$V$31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2F-4A09-8C8D-B17FD22F04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2F-4A09-8C8D-B17FD22F04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2F-4A09-8C8D-B17FD22F04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2F-4A09-8C8D-B17FD22F04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Sheet1!$U$32:$U$36</c:f>
              <c:strCache>
                <c:ptCount val="4"/>
                <c:pt idx="1">
                  <c:v>F</c:v>
                </c:pt>
                <c:pt idx="2">
                  <c:v>M</c:v>
                </c:pt>
                <c:pt idx="3">
                  <c:v>O</c:v>
                </c:pt>
              </c:strCache>
            </c:strRef>
          </c:cat>
          <c:val>
            <c:numRef>
              <c:f>Sheet1!$V$32:$V$36</c:f>
              <c:numCache>
                <c:formatCode>General</c:formatCode>
                <c:ptCount val="4"/>
                <c:pt idx="0">
                  <c:v>736</c:v>
                </c:pt>
                <c:pt idx="1">
                  <c:v>6272</c:v>
                </c:pt>
                <c:pt idx="2">
                  <c:v>4672</c:v>
                </c:pt>
                <c:pt idx="3">
                  <c:v>317</c:v>
                </c:pt>
              </c:numCache>
            </c:numRef>
          </c:val>
          <c:extLst>
            <c:ext xmlns:c16="http://schemas.microsoft.com/office/drawing/2014/chart" uri="{C3380CC4-5D6E-409C-BE32-E72D297353CC}">
              <c16:uniqueId val="{00000008-232F-4A09-8C8D-B17FD22F04B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project.xlsx]Sheet1!PivotTable13</c:name>
    <c:fmtId val="10"/>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800" b="1" i="0" u="none" strike="noStrike" kern="1200" baseline="0">
                <a:solidFill>
                  <a:schemeClr val="tx1">
                    <a:lumMod val="95000"/>
                    <a:lumOff val="5000"/>
                  </a:schemeClr>
                </a:solidFill>
                <a:latin typeface="+mn-lt"/>
                <a:ea typeface="+mn-ea"/>
                <a:cs typeface="+mn-cs"/>
              </a:rPr>
              <a:t>How long we take to ship</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Sheet1!$D$56</c:f>
              <c:strCache>
                <c:ptCount val="1"/>
                <c:pt idx="0">
                  <c:v>Total</c:v>
                </c:pt>
              </c:strCache>
            </c:strRef>
          </c:tx>
          <c:spPr>
            <a:solidFill>
              <a:schemeClr val="accent1"/>
            </a:solidFill>
            <a:ln>
              <a:noFill/>
            </a:ln>
            <a:effectLst/>
          </c:spPr>
          <c:invertIfNegative val="0"/>
          <c:cat>
            <c:strRef>
              <c:f>Sheet1!$C$57:$C$72</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Sheet1!$D$57:$D$72</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958-49A3-8374-1D3D0783C03D}"/>
            </c:ext>
          </c:extLst>
        </c:ser>
        <c:dLbls>
          <c:showLegendKey val="0"/>
          <c:showVal val="0"/>
          <c:showCatName val="0"/>
          <c:showSerName val="0"/>
          <c:showPercent val="0"/>
          <c:showBubbleSize val="0"/>
        </c:dLbls>
        <c:gapWidth val="219"/>
        <c:overlap val="-27"/>
        <c:axId val="670022800"/>
        <c:axId val="1025038160"/>
      </c:barChart>
      <c:catAx>
        <c:axId val="67002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038160"/>
        <c:crosses val="autoZero"/>
        <c:auto val="1"/>
        <c:lblAlgn val="ctr"/>
        <c:lblOffset val="100"/>
        <c:noMultiLvlLbl val="0"/>
      </c:catAx>
      <c:valAx>
        <c:axId val="1025038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022800"/>
        <c:crosses val="autoZero"/>
        <c:crossBetween val="between"/>
      </c:valAx>
      <c:spPr>
        <a:solidFill>
          <a:schemeClr val="bg2">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project.xlsx]Sheet1!Pivotratinjg</c:name>
    <c:fmtId val="1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800" b="1">
                <a:solidFill>
                  <a:schemeClr val="tx1">
                    <a:lumMod val="95000"/>
                    <a:lumOff val="5000"/>
                  </a:schemeClr>
                </a:solidFill>
              </a:rPr>
              <a:t>How</a:t>
            </a:r>
            <a:r>
              <a:rPr lang="en-IN" sz="1800" b="1" baseline="0">
                <a:solidFill>
                  <a:schemeClr val="tx1">
                    <a:lumMod val="95000"/>
                    <a:lumOff val="5000"/>
                  </a:schemeClr>
                </a:solidFill>
              </a:rPr>
              <a:t> satisfied are our customers?</a:t>
            </a:r>
            <a:endParaRPr lang="en-IN"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Sheet1!$I$60:$I$61</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Sheet1!$H$62:$H$65</c:f>
              <c:strCache>
                <c:ptCount val="3"/>
                <c:pt idx="0">
                  <c:v>Jan</c:v>
                </c:pt>
                <c:pt idx="1">
                  <c:v>Feb</c:v>
                </c:pt>
                <c:pt idx="2">
                  <c:v>Mar</c:v>
                </c:pt>
              </c:strCache>
            </c:strRef>
          </c:cat>
          <c:val>
            <c:numRef>
              <c:f>Sheet1!$I$62:$I$65</c:f>
              <c:numCache>
                <c:formatCode>General</c:formatCode>
                <c:ptCount val="3"/>
                <c:pt idx="0">
                  <c:v>7</c:v>
                </c:pt>
                <c:pt idx="1">
                  <c:v>8</c:v>
                </c:pt>
                <c:pt idx="2">
                  <c:v>6</c:v>
                </c:pt>
              </c:numCache>
            </c:numRef>
          </c:val>
          <c:extLst>
            <c:ext xmlns:c16="http://schemas.microsoft.com/office/drawing/2014/chart" uri="{C3380CC4-5D6E-409C-BE32-E72D297353CC}">
              <c16:uniqueId val="{00000000-E545-4E4C-9BF1-BDDDFF42595C}"/>
            </c:ext>
          </c:extLst>
        </c:ser>
        <c:ser>
          <c:idx val="1"/>
          <c:order val="1"/>
          <c:tx>
            <c:strRef>
              <c:f>Sheet1!$J$60:$J$61</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Sheet1!$H$62:$H$65</c:f>
              <c:strCache>
                <c:ptCount val="3"/>
                <c:pt idx="0">
                  <c:v>Jan</c:v>
                </c:pt>
                <c:pt idx="1">
                  <c:v>Feb</c:v>
                </c:pt>
                <c:pt idx="2">
                  <c:v>Mar</c:v>
                </c:pt>
              </c:strCache>
            </c:strRef>
          </c:cat>
          <c:val>
            <c:numRef>
              <c:f>Sheet1!$J$62:$J$65</c:f>
              <c:numCache>
                <c:formatCode>General</c:formatCode>
                <c:ptCount val="3"/>
                <c:pt idx="0">
                  <c:v>37</c:v>
                </c:pt>
                <c:pt idx="1">
                  <c:v>51</c:v>
                </c:pt>
                <c:pt idx="2">
                  <c:v>39</c:v>
                </c:pt>
              </c:numCache>
            </c:numRef>
          </c:val>
          <c:extLst>
            <c:ext xmlns:c16="http://schemas.microsoft.com/office/drawing/2014/chart" uri="{C3380CC4-5D6E-409C-BE32-E72D297353CC}">
              <c16:uniqueId val="{00000001-E545-4E4C-9BF1-BDDDFF42595C}"/>
            </c:ext>
          </c:extLst>
        </c:ser>
        <c:ser>
          <c:idx val="2"/>
          <c:order val="2"/>
          <c:tx>
            <c:strRef>
              <c:f>Sheet1!$K$60:$K$61</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Sheet1!$H$62:$H$65</c:f>
              <c:strCache>
                <c:ptCount val="3"/>
                <c:pt idx="0">
                  <c:v>Jan</c:v>
                </c:pt>
                <c:pt idx="1">
                  <c:v>Feb</c:v>
                </c:pt>
                <c:pt idx="2">
                  <c:v>Mar</c:v>
                </c:pt>
              </c:strCache>
            </c:strRef>
          </c:cat>
          <c:val>
            <c:numRef>
              <c:f>Sheet1!$K$62:$K$65</c:f>
              <c:numCache>
                <c:formatCode>General</c:formatCode>
                <c:ptCount val="3"/>
                <c:pt idx="0">
                  <c:v>150</c:v>
                </c:pt>
                <c:pt idx="1">
                  <c:v>182</c:v>
                </c:pt>
                <c:pt idx="2">
                  <c:v>163</c:v>
                </c:pt>
              </c:numCache>
            </c:numRef>
          </c:val>
          <c:extLst>
            <c:ext xmlns:c16="http://schemas.microsoft.com/office/drawing/2014/chart" uri="{C3380CC4-5D6E-409C-BE32-E72D297353CC}">
              <c16:uniqueId val="{00000002-E545-4E4C-9BF1-BDDDFF42595C}"/>
            </c:ext>
          </c:extLst>
        </c:ser>
        <c:ser>
          <c:idx val="3"/>
          <c:order val="3"/>
          <c:tx>
            <c:strRef>
              <c:f>Sheet1!$L$60:$L$61</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Sheet1!$H$62:$H$65</c:f>
              <c:strCache>
                <c:ptCount val="3"/>
                <c:pt idx="0">
                  <c:v>Jan</c:v>
                </c:pt>
                <c:pt idx="1">
                  <c:v>Feb</c:v>
                </c:pt>
                <c:pt idx="2">
                  <c:v>Mar</c:v>
                </c:pt>
              </c:strCache>
            </c:strRef>
          </c:cat>
          <c:val>
            <c:numRef>
              <c:f>Sheet1!$L$62:$L$65</c:f>
              <c:numCache>
                <c:formatCode>General</c:formatCode>
                <c:ptCount val="3"/>
                <c:pt idx="0">
                  <c:v>312</c:v>
                </c:pt>
                <c:pt idx="1">
                  <c:v>373</c:v>
                </c:pt>
                <c:pt idx="2">
                  <c:v>351</c:v>
                </c:pt>
              </c:numCache>
            </c:numRef>
          </c:val>
          <c:extLst>
            <c:ext xmlns:c16="http://schemas.microsoft.com/office/drawing/2014/chart" uri="{C3380CC4-5D6E-409C-BE32-E72D297353CC}">
              <c16:uniqueId val="{00000003-ACC1-4EE8-B432-AC24252035B0}"/>
            </c:ext>
          </c:extLst>
        </c:ser>
        <c:ser>
          <c:idx val="4"/>
          <c:order val="4"/>
          <c:tx>
            <c:strRef>
              <c:f>Sheet1!$M$60:$M$61</c:f>
              <c:strCache>
                <c:ptCount val="1"/>
                <c:pt idx="0">
                  <c:v>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Sheet1!$H$62:$H$65</c:f>
              <c:strCache>
                <c:ptCount val="3"/>
                <c:pt idx="0">
                  <c:v>Jan</c:v>
                </c:pt>
                <c:pt idx="1">
                  <c:v>Feb</c:v>
                </c:pt>
                <c:pt idx="2">
                  <c:v>Mar</c:v>
                </c:pt>
              </c:strCache>
            </c:strRef>
          </c:cat>
          <c:val>
            <c:numRef>
              <c:f>Sheet1!$M$62:$M$65</c:f>
              <c:numCache>
                <c:formatCode>General</c:formatCode>
                <c:ptCount val="3"/>
                <c:pt idx="0">
                  <c:v>224</c:v>
                </c:pt>
                <c:pt idx="1">
                  <c:v>247</c:v>
                </c:pt>
                <c:pt idx="2">
                  <c:v>250</c:v>
                </c:pt>
              </c:numCache>
            </c:numRef>
          </c:val>
          <c:extLst>
            <c:ext xmlns:c16="http://schemas.microsoft.com/office/drawing/2014/chart" uri="{C3380CC4-5D6E-409C-BE32-E72D297353CC}">
              <c16:uniqueId val="{00000007-ACC1-4EE8-B432-AC24252035B0}"/>
            </c:ext>
          </c:extLst>
        </c:ser>
        <c:dLbls>
          <c:dLblPos val="outEnd"/>
          <c:showLegendKey val="0"/>
          <c:showVal val="1"/>
          <c:showCatName val="0"/>
          <c:showSerName val="0"/>
          <c:showPercent val="0"/>
          <c:showBubbleSize val="0"/>
        </c:dLbls>
        <c:gapWidth val="219"/>
        <c:overlap val="-27"/>
        <c:axId val="854389744"/>
        <c:axId val="1025074640"/>
      </c:barChart>
      <c:catAx>
        <c:axId val="85438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074640"/>
        <c:crosses val="autoZero"/>
        <c:auto val="1"/>
        <c:lblAlgn val="ctr"/>
        <c:lblOffset val="100"/>
        <c:noMultiLvlLbl val="0"/>
      </c:catAx>
      <c:valAx>
        <c:axId val="102507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4389744"/>
        <c:crosses val="autoZero"/>
        <c:crossBetween val="between"/>
      </c:valAx>
      <c:spPr>
        <a:solidFill>
          <a:schemeClr val="accent5"/>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project.xlsx]Sheet1!pvt matrix</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How</a:t>
            </a:r>
            <a:r>
              <a:rPr lang="en-IN" sz="1800" b="1" baseline="0">
                <a:solidFill>
                  <a:schemeClr val="tx1"/>
                </a:solidFill>
              </a:rPr>
              <a:t> they like to buy</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s>
    <c:plotArea>
      <c:layout/>
      <c:doughnutChart>
        <c:varyColors val="1"/>
        <c:ser>
          <c:idx val="0"/>
          <c:order val="0"/>
          <c:tx>
            <c:strRef>
              <c:f>Sheet1!$H$16:$H$17</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55-4BA9-84E4-D340789B90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55-4BA9-84E4-D340789B90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55-4BA9-84E4-D340789B90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55-4BA9-84E4-D340789B90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055-4BA9-84E4-D340789B903F}"/>
              </c:ext>
            </c:extLst>
          </c:dPt>
          <c:cat>
            <c:strRef>
              <c:f>Sheet1!$G$18:$G$23</c:f>
              <c:strCache>
                <c:ptCount val="5"/>
                <c:pt idx="0">
                  <c:v>App</c:v>
                </c:pt>
                <c:pt idx="1">
                  <c:v>Instagram</c:v>
                </c:pt>
                <c:pt idx="2">
                  <c:v>Partner App</c:v>
                </c:pt>
                <c:pt idx="3">
                  <c:v>Target.com</c:v>
                </c:pt>
                <c:pt idx="4">
                  <c:v>Website</c:v>
                </c:pt>
              </c:strCache>
            </c:strRef>
          </c:cat>
          <c:val>
            <c:numRef>
              <c:f>Sheet1!$H$18:$H$23</c:f>
              <c:numCache>
                <c:formatCode>0.00%</c:formatCode>
                <c:ptCount val="5"/>
                <c:pt idx="0">
                  <c:v>0.18961825201634841</c:v>
                </c:pt>
                <c:pt idx="1">
                  <c:v>5.0283982091147303E-2</c:v>
                </c:pt>
                <c:pt idx="2">
                  <c:v>6.3496059750411282E-2</c:v>
                </c:pt>
                <c:pt idx="3">
                  <c:v>9.6337892927149532E-2</c:v>
                </c:pt>
                <c:pt idx="4">
                  <c:v>0.12522098709469262</c:v>
                </c:pt>
              </c:numCache>
            </c:numRef>
          </c:val>
          <c:extLst>
            <c:ext xmlns:c16="http://schemas.microsoft.com/office/drawing/2014/chart" uri="{C3380CC4-5D6E-409C-BE32-E72D297353CC}">
              <c16:uniqueId val="{0000000A-D055-4BA9-84E4-D340789B903F}"/>
            </c:ext>
          </c:extLst>
        </c:ser>
        <c:ser>
          <c:idx val="1"/>
          <c:order val="1"/>
          <c:tx>
            <c:strRef>
              <c:f>Sheet1!$I$16:$I$17</c:f>
              <c:strCache>
                <c:ptCount val="1"/>
                <c:pt idx="0">
                  <c:v>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D055-4BA9-84E4-D340789B90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D055-4BA9-84E4-D340789B90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D055-4BA9-84E4-D340789B90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D055-4BA9-84E4-D340789B90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D055-4BA9-84E4-D340789B903F}"/>
              </c:ext>
            </c:extLst>
          </c:dPt>
          <c:cat>
            <c:strRef>
              <c:f>Sheet1!$G$18:$G$23</c:f>
              <c:strCache>
                <c:ptCount val="5"/>
                <c:pt idx="0">
                  <c:v>App</c:v>
                </c:pt>
                <c:pt idx="1">
                  <c:v>Instagram</c:v>
                </c:pt>
                <c:pt idx="2">
                  <c:v>Partner App</c:v>
                </c:pt>
                <c:pt idx="3">
                  <c:v>Target.com</c:v>
                </c:pt>
                <c:pt idx="4">
                  <c:v>Website</c:v>
                </c:pt>
              </c:strCache>
            </c:strRef>
          </c:cat>
          <c:val>
            <c:numRef>
              <c:f>Sheet1!$I$18:$I$23</c:f>
              <c:numCache>
                <c:formatCode>0.00%</c:formatCode>
                <c:ptCount val="5"/>
                <c:pt idx="0">
                  <c:v>0.12262322351336576</c:v>
                </c:pt>
                <c:pt idx="1">
                  <c:v>4.3060781812819873E-2</c:v>
                </c:pt>
                <c:pt idx="2">
                  <c:v>4.6071629863988765E-2</c:v>
                </c:pt>
                <c:pt idx="3">
                  <c:v>6.7920115842382611E-2</c:v>
                </c:pt>
                <c:pt idx="4">
                  <c:v>9.1492740283116228E-2</c:v>
                </c:pt>
              </c:numCache>
            </c:numRef>
          </c:val>
          <c:extLst>
            <c:ext xmlns:c16="http://schemas.microsoft.com/office/drawing/2014/chart" uri="{C3380CC4-5D6E-409C-BE32-E72D297353CC}">
              <c16:uniqueId val="{00000015-D055-4BA9-84E4-D340789B903F}"/>
            </c:ext>
          </c:extLst>
        </c:ser>
        <c:ser>
          <c:idx val="2"/>
          <c:order val="2"/>
          <c:tx>
            <c:strRef>
              <c:f>Sheet1!$J$16:$J$17</c:f>
              <c:strCache>
                <c:ptCount val="1"/>
                <c:pt idx="0">
                  <c:v>Other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D055-4BA9-84E4-D340789B90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D055-4BA9-84E4-D340789B90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D055-4BA9-84E4-D340789B90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D055-4BA9-84E4-D340789B90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D055-4BA9-84E4-D340789B903F}"/>
              </c:ext>
            </c:extLst>
          </c:dPt>
          <c:cat>
            <c:strRef>
              <c:f>Sheet1!$G$18:$G$23</c:f>
              <c:strCache>
                <c:ptCount val="5"/>
                <c:pt idx="0">
                  <c:v>App</c:v>
                </c:pt>
                <c:pt idx="1">
                  <c:v>Instagram</c:v>
                </c:pt>
                <c:pt idx="2">
                  <c:v>Partner App</c:v>
                </c:pt>
                <c:pt idx="3">
                  <c:v>Target.com</c:v>
                </c:pt>
                <c:pt idx="4">
                  <c:v>Website</c:v>
                </c:pt>
              </c:strCache>
            </c:strRef>
          </c:cat>
          <c:val>
            <c:numRef>
              <c:f>Sheet1!$J$18:$J$23</c:f>
              <c:numCache>
                <c:formatCode>0.00%</c:formatCode>
                <c:ptCount val="5"/>
                <c:pt idx="0">
                  <c:v>1.060537752469185E-2</c:v>
                </c:pt>
                <c:pt idx="1">
                  <c:v>1.5320025675641944E-3</c:v>
                </c:pt>
                <c:pt idx="2">
                  <c:v>2.306247051322625E-3</c:v>
                </c:pt>
                <c:pt idx="3">
                  <c:v>5.4979832664581261E-3</c:v>
                </c:pt>
                <c:pt idx="4">
                  <c:v>6.3042760790965081E-3</c:v>
                </c:pt>
              </c:numCache>
            </c:numRef>
          </c:val>
          <c:extLst>
            <c:ext xmlns:c16="http://schemas.microsoft.com/office/drawing/2014/chart" uri="{C3380CC4-5D6E-409C-BE32-E72D297353CC}">
              <c16:uniqueId val="{00000020-D055-4BA9-84E4-D340789B903F}"/>
            </c:ext>
          </c:extLst>
        </c:ser>
        <c:ser>
          <c:idx val="3"/>
          <c:order val="3"/>
          <c:tx>
            <c:strRef>
              <c:f>Sheet1!$K$16:$K$17</c:f>
              <c:strCache>
                <c:ptCount val="1"/>
                <c:pt idx="0">
                  <c:v>Unknown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2-D055-4BA9-84E4-D340789B90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4-D055-4BA9-84E4-D340789B90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6-D055-4BA9-84E4-D340789B90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8-D055-4BA9-84E4-D340789B90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A-D055-4BA9-84E4-D340789B903F}"/>
              </c:ext>
            </c:extLst>
          </c:dPt>
          <c:cat>
            <c:strRef>
              <c:f>Sheet1!$G$18:$G$23</c:f>
              <c:strCache>
                <c:ptCount val="5"/>
                <c:pt idx="0">
                  <c:v>App</c:v>
                </c:pt>
                <c:pt idx="1">
                  <c:v>Instagram</c:v>
                </c:pt>
                <c:pt idx="2">
                  <c:v>Partner App</c:v>
                </c:pt>
                <c:pt idx="3">
                  <c:v>Target.com</c:v>
                </c:pt>
                <c:pt idx="4">
                  <c:v>Website</c:v>
                </c:pt>
              </c:strCache>
            </c:strRef>
          </c:cat>
          <c:val>
            <c:numRef>
              <c:f>Sheet1!$K$18:$K$23</c:f>
              <c:numCache>
                <c:formatCode>0.00%</c:formatCode>
                <c:ptCount val="5"/>
                <c:pt idx="0">
                  <c:v>3.0599220547662797E-2</c:v>
                </c:pt>
                <c:pt idx="1">
                  <c:v>1.7794988689097006E-2</c:v>
                </c:pt>
                <c:pt idx="2">
                  <c:v>3.8927934093844286E-3</c:v>
                </c:pt>
                <c:pt idx="3">
                  <c:v>1.2933041488102518E-2</c:v>
                </c:pt>
                <c:pt idx="4">
                  <c:v>1.2408404181197551E-2</c:v>
                </c:pt>
              </c:numCache>
            </c:numRef>
          </c:val>
          <c:extLst>
            <c:ext xmlns:c16="http://schemas.microsoft.com/office/drawing/2014/chart" uri="{C3380CC4-5D6E-409C-BE32-E72D297353CC}">
              <c16:uniqueId val="{0000002B-D055-4BA9-84E4-D340789B90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 excel project.xlsx]Sheet1!pvt matrix</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doughnutChart>
        <c:varyColors val="1"/>
        <c:ser>
          <c:idx val="0"/>
          <c:order val="0"/>
          <c:tx>
            <c:strRef>
              <c:f>Sheet1!$H$16:$H$17</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46-4E3F-8F52-B5B4DB9F11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46-4E3F-8F52-B5B4DB9F11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46-4E3F-8F52-B5B4DB9F11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46-4E3F-8F52-B5B4DB9F11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46-4E3F-8F52-B5B4DB9F111B}"/>
              </c:ext>
            </c:extLst>
          </c:dPt>
          <c:cat>
            <c:strRef>
              <c:f>Sheet1!$G$18:$G$23</c:f>
              <c:strCache>
                <c:ptCount val="5"/>
                <c:pt idx="0">
                  <c:v>App</c:v>
                </c:pt>
                <c:pt idx="1">
                  <c:v>Instagram</c:v>
                </c:pt>
                <c:pt idx="2">
                  <c:v>Partner App</c:v>
                </c:pt>
                <c:pt idx="3">
                  <c:v>Target.com</c:v>
                </c:pt>
                <c:pt idx="4">
                  <c:v>Website</c:v>
                </c:pt>
              </c:strCache>
            </c:strRef>
          </c:cat>
          <c:val>
            <c:numRef>
              <c:f>Sheet1!$H$18:$H$23</c:f>
              <c:numCache>
                <c:formatCode>0.00%</c:formatCode>
                <c:ptCount val="5"/>
                <c:pt idx="0">
                  <c:v>0.18961825201634841</c:v>
                </c:pt>
                <c:pt idx="1">
                  <c:v>5.0283982091147303E-2</c:v>
                </c:pt>
                <c:pt idx="2">
                  <c:v>6.3496059750411282E-2</c:v>
                </c:pt>
                <c:pt idx="3">
                  <c:v>9.6337892927149532E-2</c:v>
                </c:pt>
                <c:pt idx="4">
                  <c:v>0.12522098709469262</c:v>
                </c:pt>
              </c:numCache>
            </c:numRef>
          </c:val>
          <c:extLst>
            <c:ext xmlns:c16="http://schemas.microsoft.com/office/drawing/2014/chart" uri="{C3380CC4-5D6E-409C-BE32-E72D297353CC}">
              <c16:uniqueId val="{00000000-9DAA-4C51-8518-6349084090C5}"/>
            </c:ext>
          </c:extLst>
        </c:ser>
        <c:ser>
          <c:idx val="1"/>
          <c:order val="1"/>
          <c:tx>
            <c:strRef>
              <c:f>Sheet1!$I$16:$I$17</c:f>
              <c:strCache>
                <c:ptCount val="1"/>
                <c:pt idx="0">
                  <c:v>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0C46-4E3F-8F52-B5B4DB9F11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0C46-4E3F-8F52-B5B4DB9F11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0C46-4E3F-8F52-B5B4DB9F11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0C46-4E3F-8F52-B5B4DB9F11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0C46-4E3F-8F52-B5B4DB9F111B}"/>
              </c:ext>
            </c:extLst>
          </c:dPt>
          <c:cat>
            <c:strRef>
              <c:f>Sheet1!$G$18:$G$23</c:f>
              <c:strCache>
                <c:ptCount val="5"/>
                <c:pt idx="0">
                  <c:v>App</c:v>
                </c:pt>
                <c:pt idx="1">
                  <c:v>Instagram</c:v>
                </c:pt>
                <c:pt idx="2">
                  <c:v>Partner App</c:v>
                </c:pt>
                <c:pt idx="3">
                  <c:v>Target.com</c:v>
                </c:pt>
                <c:pt idx="4">
                  <c:v>Website</c:v>
                </c:pt>
              </c:strCache>
            </c:strRef>
          </c:cat>
          <c:val>
            <c:numRef>
              <c:f>Sheet1!$I$18:$I$23</c:f>
              <c:numCache>
                <c:formatCode>0.00%</c:formatCode>
                <c:ptCount val="5"/>
                <c:pt idx="0">
                  <c:v>0.12262322351336576</c:v>
                </c:pt>
                <c:pt idx="1">
                  <c:v>4.3060781812819873E-2</c:v>
                </c:pt>
                <c:pt idx="2">
                  <c:v>4.6071629863988765E-2</c:v>
                </c:pt>
                <c:pt idx="3">
                  <c:v>6.7920115842382611E-2</c:v>
                </c:pt>
                <c:pt idx="4">
                  <c:v>9.1492740283116228E-2</c:v>
                </c:pt>
              </c:numCache>
            </c:numRef>
          </c:val>
          <c:extLst>
            <c:ext xmlns:c16="http://schemas.microsoft.com/office/drawing/2014/chart" uri="{C3380CC4-5D6E-409C-BE32-E72D297353CC}">
              <c16:uniqueId val="{00000001-9DAA-4C51-8518-6349084090C5}"/>
            </c:ext>
          </c:extLst>
        </c:ser>
        <c:ser>
          <c:idx val="2"/>
          <c:order val="2"/>
          <c:tx>
            <c:strRef>
              <c:f>Sheet1!$J$16:$J$17</c:f>
              <c:strCache>
                <c:ptCount val="1"/>
                <c:pt idx="0">
                  <c:v>Other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0C46-4E3F-8F52-B5B4DB9F11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0C46-4E3F-8F52-B5B4DB9F11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0C46-4E3F-8F52-B5B4DB9F11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0C46-4E3F-8F52-B5B4DB9F11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0C46-4E3F-8F52-B5B4DB9F111B}"/>
              </c:ext>
            </c:extLst>
          </c:dPt>
          <c:cat>
            <c:strRef>
              <c:f>Sheet1!$G$18:$G$23</c:f>
              <c:strCache>
                <c:ptCount val="5"/>
                <c:pt idx="0">
                  <c:v>App</c:v>
                </c:pt>
                <c:pt idx="1">
                  <c:v>Instagram</c:v>
                </c:pt>
                <c:pt idx="2">
                  <c:v>Partner App</c:v>
                </c:pt>
                <c:pt idx="3">
                  <c:v>Target.com</c:v>
                </c:pt>
                <c:pt idx="4">
                  <c:v>Website</c:v>
                </c:pt>
              </c:strCache>
            </c:strRef>
          </c:cat>
          <c:val>
            <c:numRef>
              <c:f>Sheet1!$J$18:$J$23</c:f>
              <c:numCache>
                <c:formatCode>0.00%</c:formatCode>
                <c:ptCount val="5"/>
                <c:pt idx="0">
                  <c:v>1.060537752469185E-2</c:v>
                </c:pt>
                <c:pt idx="1">
                  <c:v>1.5320025675641944E-3</c:v>
                </c:pt>
                <c:pt idx="2">
                  <c:v>2.306247051322625E-3</c:v>
                </c:pt>
                <c:pt idx="3">
                  <c:v>5.4979832664581261E-3</c:v>
                </c:pt>
                <c:pt idx="4">
                  <c:v>6.3042760790965081E-3</c:v>
                </c:pt>
              </c:numCache>
            </c:numRef>
          </c:val>
          <c:extLst>
            <c:ext xmlns:c16="http://schemas.microsoft.com/office/drawing/2014/chart" uri="{C3380CC4-5D6E-409C-BE32-E72D297353CC}">
              <c16:uniqueId val="{00000002-9DAA-4C51-8518-6349084090C5}"/>
            </c:ext>
          </c:extLst>
        </c:ser>
        <c:ser>
          <c:idx val="3"/>
          <c:order val="3"/>
          <c:tx>
            <c:strRef>
              <c:f>Sheet1!$K$16:$K$17</c:f>
              <c:strCache>
                <c:ptCount val="1"/>
                <c:pt idx="0">
                  <c:v>Unknown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0C46-4E3F-8F52-B5B4DB9F11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0C46-4E3F-8F52-B5B4DB9F11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0C46-4E3F-8F52-B5B4DB9F11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0C46-4E3F-8F52-B5B4DB9F11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0C46-4E3F-8F52-B5B4DB9F111B}"/>
              </c:ext>
            </c:extLst>
          </c:dPt>
          <c:cat>
            <c:strRef>
              <c:f>Sheet1!$G$18:$G$23</c:f>
              <c:strCache>
                <c:ptCount val="5"/>
                <c:pt idx="0">
                  <c:v>App</c:v>
                </c:pt>
                <c:pt idx="1">
                  <c:v>Instagram</c:v>
                </c:pt>
                <c:pt idx="2">
                  <c:v>Partner App</c:v>
                </c:pt>
                <c:pt idx="3">
                  <c:v>Target.com</c:v>
                </c:pt>
                <c:pt idx="4">
                  <c:v>Website</c:v>
                </c:pt>
              </c:strCache>
            </c:strRef>
          </c:cat>
          <c:val>
            <c:numRef>
              <c:f>Sheet1!$K$18:$K$23</c:f>
              <c:numCache>
                <c:formatCode>0.00%</c:formatCode>
                <c:ptCount val="5"/>
                <c:pt idx="0">
                  <c:v>3.0599220547662797E-2</c:v>
                </c:pt>
                <c:pt idx="1">
                  <c:v>1.7794988689097006E-2</c:v>
                </c:pt>
                <c:pt idx="2">
                  <c:v>3.8927934093844286E-3</c:v>
                </c:pt>
                <c:pt idx="3">
                  <c:v>1.2933041488102518E-2</c:v>
                </c:pt>
                <c:pt idx="4">
                  <c:v>1.2408404181197551E-2</c:v>
                </c:pt>
              </c:numCache>
            </c:numRef>
          </c:val>
          <c:extLst>
            <c:ext xmlns:c16="http://schemas.microsoft.com/office/drawing/2014/chart" uri="{C3380CC4-5D6E-409C-BE32-E72D297353CC}">
              <c16:uniqueId val="{00000003-9DAA-4C51-8518-6349084090C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solidFill>
                <a:schemeClr val="tx1"/>
              </a:solidFill>
            </a:defRPr>
          </a:pPr>
          <a:r>
            <a:rPr lang="en-US" sz="1400" b="1" i="0" u="none" strike="noStrike" baseline="0">
              <a:solidFill>
                <a:schemeClr val="tx1"/>
              </a:solidFill>
              <a:latin typeface="Gill Sans MT" panose="020B0502020104020203"/>
            </a:rPr>
            <a:t>Where do our customers live?</a:t>
          </a:r>
        </a:p>
      </cx:txPr>
      <cx:extLst>
        <cx:ext uri="ext:featex">
          <cx:featureExtension feature="mp" drop="onModelChange">
            <cx:offset top="0.032679349184036255" left="-0.35947698354721069"/>
          </cx:featureExtension>
        </cx:ext>
      </cx:extLst>
    </cx:title>
    <cx:plotArea>
      <cx:plotAreaRegion>
        <cx:series layoutId="regionMap" uniqueId="{00000000-32B6-4398-A7E8-0C1829063171}">
          <cx:tx>
            <cx:txData>
              <cx:f>_xlchart.v5.2</cx:f>
              <cx:v>Sum of Quantity</cx:v>
            </cx:txData>
          </cx:tx>
          <cx:dataId val="0"/>
          <cx:layoutPr>
            <cx:geography cultureLanguage="en-US" cultureRegion="IN" attribution="Powered by Bing">
              <cx:geoCache provider="{E9337A44-BEBE-4D9F-B70C-5C5E7DAFC167}">
                <cx:binary>3F1rc9s4sv0rqfl86cGDBMCtna0aUpQsvxM7r/nCUmyFb4IE+P71t2k7WevhDF01qrpXmtnaSaSG
WjwAuvt0o/Hv++5f9+l6pd51WZrrf913f/wWVlXxr99/1/fhOlvpkyy6V1LL79XJvcx+l9+/R/fr
3x/Uqo3y4HeCsPn7fbhS1br77T//htGCtbyQ96sqkvn7eq36D2tdp5X+xXt733q3esiifBbpSkX3
Ff7jN3eVRt+lyqPVb5vvEXhPprVevXNlnVf9b+/WeRVV/V1frP/4bWMY8tu737e/bUezdykoX9UP
IEztE4JsQhm20OMLBkhlHjy/bWBCThASlNmm9eNrr1YZSE7X6FGf1cODWmsNP+zx/3fkN34FvPvn
3z6D+/FZjE8/ACD++O1jHlXrh3e31apa69/eRVo+PizVu3L8oR9vH5/M75v4/effW38Bz2rrb15A
vP1g/+6tTRT/DuFVumrWaqUPALI4wTYjmHD+CsjohIlxGphsC+S3KPUKzjtDTIF6R+jI0D5fq/wA
QFsnlFMTWSZ7AhpvrWZsnyAsbEwJ3wR6qj77Md6QngDvxuePDNk/U9geHw6xVfMTgUxBBKP24wsg
3N6qCScmZ7CHPxmIp536DRrth3d7gAkIb4scGciXMq/Wat0fYAmzE8YZ5xQ979V0G2V8wixmMroN
81t02o/zzggTgN6ROTKk/0yLKF8fAGdxwmxqgd9lPq1msYUzbNUcXpbFze3lPFWj/Shv/aIJGG9J
HBnC12qVB4dAmJ5wG5tCsNcQhg3doshmCMz0yw17ukb7Ed6Sn4DwlsSRIfxntnqQ6iBrmIK5RUTA
Et00xQgWLyE2oPvoiG0BPF2h/QBvyU8AeEviyABepOv8EO60fWIRZGGbQFi0iS+BiEpgTq0tX2uy
JvuB3RSfgOumwJHB6tRVdYiNGWDFEOtCmLTf9BJ8YkEIhTHZWreTFdqP7qb4BHQ3BY4MXRd8aDXG
Sbo6RLQkHiNdm1L+CsiwhKkpLI7B83ppfd+q136s944yAfK9ckeG/G2kk6iX9T9vkU18wim2BPkR
I9u7GzcDr9tCDOKql6i/Raf9iO+MMAHtHZkjQ3q2Tt9dSaDODwO1ZYKXBXzW42uHDjGB2jYp0CFb
NvpNSu3HeneICWDvCh0Z2nd1ulIHgJqyE0oRJujZmx7jpQ13DGJlYgshsLW1qqdrtB/nLfkJIG9J
HBnCXvpuJhVEU//8eqbihBObWeSZ3bR3tm6IqewxoLaeyO0t3+xNqu1He3eICYDvCh0Z5ncqgtTa
AahOEwCFRITFLfbKDk5ObPDSMWQnN431G1Taj/T2ABNw3hY5MpTnkJ3ND7Gs2eiRMcvC+Ank7WU9
8pzCgn/wVoJ5ukb7Md6SnwDxlsSRIXxaZ99k+lD981v3uJAFw6a5y5OYJ5hhiiBr9YT+5jp+i0r7
Qd4ZYQLMOzJHBvQyK9YqWqX/PNCUgAkmwjIpfsovbyensHUCwRUsdmBFx9fWvv0WzfbjvTPCBLx3
ZI4N77w/zMYtEAH+kz+zZDsb91hVYjMGfvfmql5O1OcVhF9KT0H35eePDNlzKEA7RD0QxFNQC0RM
03rVJjN4D/jP7TKRqQrtx3bz90wAd1PgyNC9WCWHCJahxAf2Z44g+fT42lPRZ2MLM8G3ir2m6rMf
2w3pCdBufP7okNV6fYCEFDhaJhQMCBuokMfXtv0lUMgHb5uCbS3ci9VUjV5Dd0N+Er4bEseGsNTv
/oSygXR9iP3ZPEEWIVT82J93akPECTEp5J5hmY+vLTfr4m3KvYL4nkGmwL5H7Miw/1p/O0TCyj7B
sLgh2/xakS5kJWHPFlD6telvTdVnP84b0hMA3vj8kSF7uXqACuwDxE3sBOqvoViAP1fZw4LdILBh
34aMlClMDF72y7TUdI32o7slPwHfLYmjQxjYzAMAzE9sbgKTiZ7Z6+0dG45RWBSDWba3gqXL1USF
XsP3pfgkeF8KHCG6hTzIORl+AqsT1q94dr22VzDQmDYzuSDgeD++ttexiqZq9jrSGyNMBHtD5tjw
XucP8j46CG89mmMAkvNnqmsbcEIhvcwZpfaWq335FqVewXpniClg7wgdGdq3q/zdmVyV9aF2cNi/
TWI+L/Cd0ApDjhkoE9t+suFbPvcblduP+75BJiC/T+zIsL9cq3s43ef+4+cf+QlFzGaCPScodgw3
hNwCfHLMzX2h1nS99iO+JT8B7C2JY8NZwob+z8MMdWGmjWygNJ9TzTsFvegE1j4UhOKt4OpyqkKv
4LshPgXeDYGjQ/cgphrYEDgm83MJjwZ5I7oay4OIEBBYb0dXcpo+r2H7QnoStC8+f2TIjiboEk5e
HyIR9eh6cw6npZ486214IbYCeMFbM/fY5MlK7cd493dNAHpX6MjQvloVh2BJYB3bkJWCtNOjqUU7
LhgADeQ2giBsM7qaqs9+jDekJ8C78fljQ3bdrA5yeBm2YEa4oOiZAdvBFkO9PjSZMO2trNTVZI1e
QXdTfgq+mxJHhvBNurpfH+YwHFjYsT7z6cjb7uoFhPlYOUKetvEtWzxdr/04b8lPwHlL4uhwrqG3
zT/vSkPHGJsyDnW6zwV9O+YYQdWmAF+bbhX03aRTNXoN4Q35SQhvSBwZwh8i6Bejo4dDFBHQE1sg
i9LnPiK7FfcQN0M3GSgQ2VrGb1JqP867Q0yAelfoyNC+W4er7ABeF9QUQLUeg4TzKwW6o3tNTQzn
IZ+YsS0ne7pe+9Hekp8A9ZbEkeF8u7pX0EEmrw4RSokTi0PbCROaPT2+dvbukScZ/4HTseNrC+u3
6bYf7z1jTMB8j9TR4Z6/c9Zw0uIQuDPoNEHGQ8+vFPzBiWcTEQQ13Fve9xjKTtfqNcR3xpiE+I7U
ESJ+UUf63fW3SBeHgN2CeJkwCKvEU0ANy3mDGBvLxcDCw0H3LSs+wv5G1V7Hft9AEyfAPtEjnAUO
dINbqYfDJDLhCAY0cMQCjlA+vrYjb8yBdjERxG6bpMrT0n+LYq9PgT0/cOIM2CN5hBNgFq2DQ2wA
cF4DQ1YTzmxsrXwAHTMqYFY8W4Rd7Cfr9Drsm0NMRHxT6NjArlZ5pNNVfYjInEPxL4KeNOy1ym9g
YNBYOMq3ipCgaeobtHoF790xpgC+K3VsiIMpnUOLsftI38sfq+yf6NzL4dAdQhyO3/zk0zaNOzmB
WgZohkH3bOw/NZpCEL0C+Msf9nOYKZjvFTw+2KGtjbNS31YHqSg1R3DHesJXonbIeTJbQNwOrZsf
Xz+m3lNPUDDub1Pv1TmwZ5hpc2CP4FHOAVfVw8/l8VTb+08sfygp5sDKoB8VDdsWfmzcDUlv6Jmx
G9LBo5+q1a9w3xhjMugbUseJOLRBgSd8iFolOPMB57peq1XCJ2MTFEiibTHvT6vdnarWLzHfGGQ6
6Btix4Z6uDpIDzOgZqH7K7jp9LUjIeQEfHgkIMjf2t4na/QK1pvyU2DelDg2hKO1OsiShlaEDFFo
j/DEt+4mTdEJvAmGXuyvOp2s1ys4b8pPwXlT4thwlunqRZHWP2etxxI1SI2Pfb0fXztMHFhr0waQ
dwjYyRq9gvCm/BSENyWODuFcHiKNBu2rTGozqF96rW/7IxfDTDhGsrVXQxHiNI1eQ3hDfhLCGxLH
hvDYNfYQBS5wIoQSAteoPIdcOx43dOYfV/lOCdPtZI1eQXhTfgrCmxJHhvBdDbchZQfpyg/n+ASw
4YDhK/s0Ao+LYCzIVp34W3Taj/LOCBNw3pE5MqQ/gQWuD+J4QXNQcKsoeq098FgzbkOxGkNbXOkb
VNqP8/YAE2DeFjkylL/K9BDJD7hhg0PzIqgX3kp+QLYb3uAYWpNtmuKpiuwHdkN6Aqobn/9/AOmv
Vdz4weNdZ3/+eLZ72K633lIHKUpoyM6A7Ny/LY9sJwbXCzoo7GM7X96s96pP/3S53+49da/dyvf0
E3/9UA5zC93rN9T9vOpvtqpW3uMlgS8uqfv1u4+TGu423BJ9bkewB8SfRfjLhz9+g5J9CiEqWMWf
9w+OA200MwAYnq64+zEzNgXXwKL88RtcOQjNEEYYGTPhbB4bT3W0659vwflL6AgKB7kgtTFegZRD
e+kQLjKE0qaxqAkO8xFMgRiHt7SsH9+Ce1ag3xWkxsZ7DIEyZT/vcbyRaR/I/OeDef7zu7zObmSU
VxoGpmAAiqfPjfpacPyAwlkyBt+ETKhl5qBfcb/6MLbGgufwP3kgmiZthLxGKA1Oi8BfhIEhHEXb
85o3vdvWRF90NZELiga6sLv6Jo/NwaV59k2ZRM60oU/TPrQ8m8L1hUHLqBObYenWoTk4sdGSWVgJ
w+ElG2ZG22U3ZWB/Dq1BuY2i1O3QcC58eqEs81RI25pZRrgo++KzLwLpDqW4HFRfeVwmzSlcXHkW
ZHHpJKZ1NogocwKTXzJifgysonaqSLy3W57MchW9r5BawTLMXWEFn5rMKpw2CgM373jjJs1wyXL+
ufMT7WJKv9ip/My65txO8EXL0zvDyi4r0RauasOPufKRY+DsNPfbcz6YH/I8nuPA+Eqizg3KYF6h
krtaFRcFl1/gxrMrGmaxE1rdoums3IFJsapSoZ28S0PH4JUXsSF0cJemM6o65vR+2XtC5LXXNE3v
+HF2rdqOOHlAT2VIIqdr66s2bWonGFq8sJJqHrPyQ5c0sWslOHcNMtxQn92TqrhL6n7eCpw5NMhv
OpPN+zBbRiSrHJ/rG1bzj2HpB15h9l9YpCMnaq1iBltR4qZ5JOc06vUsJ3xRqeG96nI+x2F61uF0
HQ5Z6YiKfGShwq5Kie8yaV/HDSdXqc9POxHclldmuGR17KBWnLM+jl3wW+YRb6RjlpEXVUPsVbRq
FqoWX0LGAqcuc+KkMlrgLM+dJJP3CWdyFld97JASz1PBZz0KvL7qT6O+iZ0si78pRddQ071uJQpO
g9K8Cliw7JoycHrUZF7cp+YnaiVohnpBHO5HcE9BeZZZbJla+NKqw7kSQTLHaaS8vuuISwLWL0Rd
SO7kVl15bWO8j4r2wR6SVrkWimIXqXIxlKZ2eFWemUZJ3NIsTm0mQ0cSP3ZywcUM4uVTYgT5Qqpu
ldjmXYTkrNGZhyrkBjB1YR7ZnyVtqBuWVXNbmrj0IjvovITXPUyEkLt4qLFXpUXsUCv9YDfBjBGf
OjQKl7nNLvxGYydLVDxLgxjWBU9rT8QFntNSEgcOB6O5kdLURdFQn/ckf+8b4T0NWvN95WcfhDKR
0zGqloWG3xJWbesaQ+1pU6ZOgIZrKWGlxFnXOTQsbnxuXYQZQrMCxabDYniAOfurqvCZlu8j0ywc
pcSNEJm/7Ji86vy0dZqqPbOJfDB1WjhlH68yMys8nuhkZnRGMisGmB+tVRKYElYwCwdjQXs3Hv4i
AX1o1EUcL7VsvUiWvVv6MA2azF/1w9A4pC8v/SHBTk6N264wT3McGk5fhp+MIFknNSwZkkuY24U1
13a5zIyscGxK6KxJ07sy97/bjWzdoIN5R1O+MOHqWM/shtIxiqFymqDMLwzSWZc4z+6MKCuvuqY3
YM7z2OP24M+6oTHc2velGygknbBtLhuVCEfzPHZSO7oNFcxmywzwUqVx6Jk+IN75GXGSfngv/YI5
eKDY0VkzuEVvfKClqmcIvskJh9J3jIa1bp4k/rzpq3gmy8o8DQGvxgzPkh7Gqmn5PjPpeSr1LfLR
nW9FcoZJc+ZDxaRHh6GLHC2Viq+LDqsviW3p1mM6Z7Gr6/i8rpt4cKuGZmQetX4+K+NIfxV2EJoX
Ly+c3TA097LoVRSEz3cG//zjf+5kBv8+3kD7378crxz+758WazlmcPX2h0af4Oen/nuL7WiDf15p
u2XZn+4tfsXs//LN132Cl5bdgtKiv3EHft53/OSVPdrXR6kfvgCG6rWxDxqCWxws6BINA/70BSAF
Pp4mg5oXMZp1MMPPvoAJZCoezwOj0R2ECyLAgv/wBcY+PDAglE4ISKvAVahv8QXwaOo3XAEbquKh
lSIDXpdC7wiINF66AtVAZVHWdXeVt9T2mtYPC0fSmCduwtvmPTOs/izumjzxEEqqr5U0m4+JqbvS
0XZefn7x9PZ4JmNzzm1toI4POnuCrwMXhY7RzUttzLwvEjusmytS5vgqSIbcd2ouWeh2TSVtp2nN
+itvCiNyVCaq0i1jlQSOP2huunC4K3+wqwpdwxhhPSNpij8OliHwomeWv8a9gbv5rzUmQH3uaAzX
XUJDQ9vi0CUabWkc8RCw7asr2lkBbNvdkH5sgCen84r30nKavsPxLOK+cAbO+sjpE0QXWaN6PFON
rB7CTmvsRkZhzTRc2N04VRaixuHKSgIvkHF4k9T2WabtUM+AuLU/6bA8T9LW6rxIG+wyUmGTLX79
q3ZhgGNuCBolw9UjUGT3+KNf+Ie8N4LWKFJ9lVe+/UkGAsPGnRCYGkVedzdtp+zbwsfpl19/7TjX
Xs5FaFEBdxlxCtc4QxcqQke1XnythbrALHSQX+ViwFc4CeurXCs3En746dfftO0Aj99kQ7k4hz6T
0BpDbM2zIjf7oVShvBIFMldlK1W68CvRw6ZdhB4q6xScXXAkpBtTq83+btKMk2Lzh8JEgc7EJlxX
Dc3Ft78ecizgluZZdMXLxFplcW2tknTUwRoy7TElJTg1AP2iTcuWOGUi+bpKbb1s7d68GE05cmkb
y8SNeZ59pKoAexeKvl8XRlPMkDFk3LVsaapTi7Khdn799Ma+9tv683HbgGAEbusFhmITKMRqK7cs
37jEtZ+tIlXpwMFGUuWmQ/s+D87aMEq+BcIuLsDShnMmzS5yCW7494oPg3T7MOCuKeNmHSnKHxqr
CPnZr5U0rR2QqQl2Hk6LjHduwOqEyO7ldGJKREiFFb2MzbLwbTGr7HBYdFVH7XnV1LWruhK9b7Le
qp0wBC9M4XyhiSoWqVkQN0nL7EORWlnn8LQNPrdxJpe9riqnsMriI9OJmPngYLi1jGPwqSsat+DH
6/yqLQx9XRoD9YIA2+D/DX6euaQJs1OLVekHEgc3QZ/TzklrXl5VfnlXkcygM9YQeJBRT2BvMOth
GF3q+CINLfHVR7V5FjKBL4aga2y3RaGZwQ33fbQ0hOozp+3FMMOtZcyGuLsvdFnd1sjgodNmFZ/7
uqyXpk/IXRniNln43MCRM4SJ/w2qNVTjRHlp/FVnPJsVhSbLRObFEpd2+hA1BYN1T7PkNrL9jjtN
aQZnyle128NzWGCIMK/LNus8s1XlHOMON14Kl5YFbtMGonQbEvpepqma1YV9HfpGgGYYy+oUTA0B
1wfFbHS30i9dhsJzouzi1qKVtajt2CBzzbJhJZhUnkZdPMybRARzo+vQiui0/a4DcPzcgVSohtCJ
NMG8q2IJi6NtvT5oajFX0g9naUUhlIOPOtACTUl40FnDnVjHseFyv+UOl1Y3OGaV+i6tjDxbKJZ4
gVn36H1LsTmLtEKpE8NMqua0am296CjvLlgyDKn/vm7LKsucPkr7XD2EfkjI8FW3Rsez0LEVbOXy
noAvV1EFF+bVdYGuqqTKku7Mjsph0dh15S8zFUXghpNU3iJu0GXcU1q7NWDgg7+L7A7gyoSY5b4P
9rBKk7b0WNIGCOKyCvvXYYkYl6dJz9tw1nepXV0wXVGYUa0vsW7dGmzhnBlh7F83sHRY4JaiEDDh
aKKzeQ6Bke2kJRgv3+uaiLmGD2yWBQEKyk24A8/PMje069aftylPM0/74BXMrTzIBlcMFuyYOUnM
2s1CZaROo/tA3+jIyDJPBpH4btQNjyA6k6RaRKaoxZVl+IF/llNecSuGIF2XQ3+qocukCr0iCHnm
+boZyrmtdB7N+5Rl/SnSOitci/Rp5PLO6tOFisrIcAFW8tkosgHP4Ehoks3gf8i4TmNkaHjkef45
zjI7W1JlV6mXhBX7MNQVpfPYkASfh20I/rzDQxJWC181RX4LxpiexcFAknldgAaerNJg8ATuBtsV
cV+0l5noYWobsFTUzMe4PlPUstJZ4NOgnvG8ATgjrsE/yYeYDus0gfTrTIAC2Yz2WVguMYrM0yDi
CXNJkpR0FsnInw21n1iO0arCvon9NjZdGpXx4GRFPBjnyE/NOS78wAJ1bV54uA8HuQwj3AYehJ9h
64yfc7Ad2TlMn4CWbtdGxuBUXWT8paAZPcQ3EawjcoWHPBoiRzSmQe/6tCX1FSvsXs5yu6wgZs7B
JAWaJyBgZxSelh+FOP864DQPz8o+S7u5bq0hOsdVUN2ZMbFWFoQ+viMwTN55DcQL9TQbIlC+xnE2
S2kJ7ItofS/CUfk1bVvwLOIgbm61xdpvhQrpacPbwPdEYiFgQ4AlonMrlXE3z1WDr4auoOZ7XVn4
DlcGfKJlhhZuhXveeQ3J4uhUdYS0y5wHmlxHBrc/5agcJ2ccl3rBUx3qm643K+GisgVswjYHxaSG
TfccLJj9iQoEszuDXVLNoK9WJ5eVtn1yE6s6ST4QkdvmsjPjtr6sump0PsO+u7ESg3WebDP4ainH
wLUD+mVYoISPP35UvYX9CfQqMnxlWjn8irq04FGFiUwG104aWDpFGiTR+1xxWPKqBq8ggPdgTyVV
Hl6X2OxV7tAiRAB3q7r6MjPCQjsRqstu3sF17NTrm5KMmwYsJhd+EWwgnY1HP7nKs08+3Fx1Jpoo
Eo4IrQTmRR+wVZtTUKNTcf+BVh3S5wG4ufG5LPIkvhVgLRY6R/iqtIPyKxzBYxC3mmFEzqQI7Prc
D2XQzHrFyxYc3J4uCgKP1UW87O+TNLFuulojeVqivkk+tywL9GnmG9n3frDHPSQq03AGcYCgXkT6
UM8LltmfDeRn86wtgtLhJmxzPVByHyJZ6XM7S2KgC4kiAWx7cLue04TE/qRiowm8lOSwTAbDp/bS
zCUu1xlsyP0ZXIMLa6Mdd2wvtgx4ol0zNB4YmbY8x6omzPXttGrA0tIGgetdxn8pu7HvjB7c9LPB
rhR+qHTeayfDmDfLqCUwVJfhcHDNdiSiCoAFWJXEZvNBNk112fU8vY0bDfQZ16dm1jXW6dAyACdB
WA+LIk2kvMxZZ14YFTKlF5Z51pwHfVuEQF/qLLwDT0Q/IDuHbQS2Tt04Sahb7dhtI0qwAn15mwYl
jr5gOVDROAN4YP3HoqKGDYNpX3khN5LgzPCL9lsYIKNxU65ZsoxshN932vAHoORKDRTdUMMkjUgV
05suSQfrKmNFmjpl0SB2aeLQ7NwevBvttWEBqLUijwJHDTyDvUPr1MMd7RQQLkSoxSBKmP2J2QVA
4vk90q5faFZ+bq0e38WhgrkGls7+BHM90ze5nWPYYElhx3ORhax1uvorETWwmU6SNPyjRfKynbVW
UJmXpp+K5kPpaxsovABmtFdEFNCEwKHvLiJaJfKCqyKkN6RDKVv6nbThd3WdEVwmyijaWaZ92DPA
G6uryzT1QX9lJ8FchyIJZ22H0LIvTVj3PWM8ckyg5i4fvdLnfMbNk5P/RMa/5DJeUhtTOJLL6F5J
Lb9X2yTJxkD/x5mUfdkVCLRez648XfH9koB5zsmA1A86ZUytQIclYkEvW7jHB0PZ6E86BQ4HQZKE
jR1uKSYQtPw3swKN0xBcwDjexAYh5gs2BcraMDTNhEgQEiJwGIG/hU2hj+H+y8gOmrhBhg/CWGDP
4VKwsRbuZcwhC2tIrN7X1yildwkwdkRb55mp3ycdkLvtSOoFCFxybJ7GfR/PspH480cKsOpq30Fl
AVte39YzMNIfkDkMblhw7LRmxRw9YMhwlBCK2zBWzmXopUACL+1AEacI01s1UpJDLoWDZXdplEBX
ZnlcuO1IYRqd5c/A1Yq9tCGGo6q2vELAeXLolHLJmyG/iAmpHMlI6QS+DjwysqXaDsA9AAKVhWHg
DCq/C3NBZ+nIsiKllyXQrr6oAk8nYMm5ma0h3vsEvrLhpMQ6lUDaGiN765f6chjN4mAF34ALi53S
qntXAembq2WML/BIBIcrRd3KDk6l9INZ29QQ+47MMe+TdJanXTIjgy68AgjmdpCF01XqoQbqGVdF
69gIfpBq/KUGero3eOH0uWcMFzUw150p/rKAyZYjpW33FprZwHKrQN1EI+1tNgJYrw5fJ0yNlHjt
YYEAEsq1UwWBXvKRQgcP+AMZSXUb2PUOWHadCzCAI/Ee4RDPyUjGa94ALc9U7RW+rLx0JO39pMWO
QuKCAJ/f15HpWCqcxSKHdI6GvMlI/pcUQnah+x7ofIilGBhQLxjTBUGFqOtDBiEwZOzIqFiUKD7T
Cb8z7WGFx8RD1idOhSovbkJ7JkmYQLimQqeAXEWLGuIyyF7AfSsa8CsXNs1iN/Fxjm4Ks8pvhQ+J
LKG0UyTyejDVfSRbuSSNcQMTfGXLSDoqDvKzMMFfVNlcKogBZoYwgdRq6RqyVOuG9/1cVx0w/1r4
p+CWf8tgiToSVHGTiCXAO9e3Fgn0eSbQWRPHX4vBPh9KPLiWDBeyNS7Kvi8cjSBxVAU+dmTit47S
+qqKB1g+zV0Y+N/KkIvTnEIgFBvZrT/QEJys+nNJ+TIpq+BUWPIMLm1OHdmzbC50vmSB9VGFKDxr
qpw5STzcwpjtRdlYDfhFUnpVwJT76AM3CoIZbI/gdZCaQMxnM+ybn7WMIWk51LWjdZ6faVJ3bmdw
7oR9VDqpTit36LT8EiA/OM3DUN3EzLKdlpazLu/xXNTZJ0GG2AmqENyOGBIBREYAUJF7fhpDFiZK
IljtFVnqaMwrxSycKVIv0SDQshThkmM/XTDQxSkZ7R3YFitHgOnUcTU4ssxPzao8jQ02iyUkNOK4
isGPNDCsNLNywUXunN4M+cwO9KwyMQQ58B+Gad3Ege1I3XzEXXxuqfpM0v7KNtVtwyHpOOhsERp+
4uSZPzh5gq+arv4YSUhtQt73JjPr90nQfhJJd6mz4Yv2wRNLgKJ1Mhl/AhrjzOzQaa/1XSUYcso6
Rw6Skjp22l0kuvQ4UnKe9ZAgJaq79BV9n+R96nUt9jgpzkhd506v6++m5f8VBfgauKIroLZuypiX
rmj0N9+3OqdOhi9pqClklYTwwI//S2cc7Dvk1JyKFHcyNM87o5Bek8KsAS6zTz7ROrZOI5PlkNce
EyihhCh8TKkcxND//zPhYzHB6yZ8q+3Cri0fxX/Ycqh5MTnUm463AQlbmMCtv7DlY48XqDUHuw1m
Fri7H8bcghv8QAaatEEkBvkUkPqRGjFPgOMfW0VgZAvgrcVbjPkOsw+pFbjU0x7baWMMzYU2Tbki
1NLgTQTXQRrAoj2PzPBveFRoQARj/NddENCKW0AxJpx3FmO659ExeekuZFgiu0j7DlIdfJmHtT2H
4DVWc551l+BTsxZohF4vBkiCe8woVOzgSli3kPOHCSsqm11yxYEXzgO/vKyVAXRbVlNWXjJmIGDk
dN0HM1RgPni6RZ4sWlScJiFwMsow0aLrgH1SMiBeC5VmCxWapQd52HhBWYGcvGE3wC8HiwK4lFkt
A7WIjCAlXqBkbCzyDGzwba6G8DswW82c4sgfYrBhyPDstDdJ7NpQAYE8XJgZ9oCuRPS2yosE9qey
K99XHWgB9Nd8MDDQHV34hRbAxHShcsB9gHoPO1nSplw0nF20NcOQhDeu6rD5ZCX0rrT1rUqGiyBv
PjEryx3BSukkkXlRKhOIu/IiDOMlDoJkCQFeNIP873mLU0egTEDSVy5Q1MGW5AMHKvszZaGvRRz3
bppyBhtVea0iFp/aeXhRd+hbyJL+PCwoUNY+1LeIFK/DVKaz3ra9XrLYqeyIQFkKzeZV11mLnPrD
OZSznDe+seiy5LQyouB/2Tuz5shtbFv/Ip4gCRIEHg+HHCWlpiqV9MKoQQLAAZwADvj1Z6Xddpft
233CEfflxm0/2VHOykwmCey91rc29m0Tjzn6lUy4vhgWddsuMSlKEqHekv3eufFYjupRxkOzr3Ss
c+HVx9F1ZSqm4KindSxG2T4BJjpLsi6pt/n0O7rqKdtGsWTozHcrmqp0DVQRRUakHtN5i3po7Yfb
JdIqDSqJywrlI2YMVIWo4qc42rqUrJE9YHeLU13yMG9LbBz+Zm4HirpR8PE41+u27xr/PaL2R9DG
bD9CjTsT3kLpk3WsHnrN2jxYIxVnQd2mKI+9E6+rYD8x/3vtyaOj3p0Jkk9GevtGlpB8t7Eoa5ZZ
Akm7ZQ+z1jtehXk1lsUUeFlLl/qwNOGeLSbMB4ILH+sE+uD8EjhsND04Apy2/ebofNv5hqRqXE9x
4987/KVzoKHOydRFwd72HrTi4N3z1mMXuRtSegeefF7Lt465U9I6tosrUYxJ/GlwQSrn9dtsa4iG
zJyjtr6B2HgvyirISFjTtKz5ayPC12uSIh+X4IZHWmRLdBnkYWsjmUlnSRqjK02k98zW6VNUz8Uq
6jWPpbiP5j5MfYUyr53V2XT1Ea5ik7o5+Nx78hlUxSfsVyjil10i+g/IDKeBeyfo3S6dKnoaKr5v
aGOvqkJOugCivo3MY7RUJ3y/c1z5b8R6VbqRRqW8G+UuJH1110ZrfVi9NnztFpZ8mVinRqg/W/mp
NWX9uAITSte1CYoIwn7qKSPzwavrvGqMyKTZbDqEnp8veCxu5j5WdzZy3pY2KLenzPb0+oRhjEeX
DtzMBRtK9s1RBtAjpp+9KaTFPNE76P0lap4eFmfEJ9zMpIY9apvzxjyRiTB+NL4/pmRYhlzMPbqY
oDrP3fbU9vWSVgsK/hn24A4i5xdKnyr88vlgPZcn66RPjDT0tuwlLrbrVVrT7lskqiqlwybxyMEx
ieJnX/Q1ruNW78Umbqo2cPBjy4fadN/syrOqrHJWoQEqPf+ppPiVSf822bpwXXWYK/ORjMuliV21
EyWqbLI0r2Fld5Imb1dR1bIJzVkwtClU2z6FYsTSKtlupjLOt01lVZMU1RD+aKlZ9/0Q55WeX2dS
7lGp9alT9m0y0a4f8TPXyy4sk5dAT58hw77EQdemfK2e1ma70Xw5mCHAA75UL0JukKPwiK7r7Vy2
e9GWGusnfTTGXeKJvq4yvuugIbNoflkA4AULquTEzTsI/Vgs/DHDr1FoWr+5QUFdqug+quI4XZtB
pYapo5hWWUii4YXG9Clw+NWmJqhToZPnYVYnQ6jJJuW/Yic4D2VX4/7R90o5c+gq8RJvQ5LCYjrE
LSmw3OSeXW+JxrdvZXLDbHKAg48OLn7l/ZyXMAd7Vl9IzA51G6HoLtu0DeuvHvPyeFHAAd2CerL8
6pv6hGudK7fqFO78CWbNw9T7+JjRdILufxhj+lb6/XHeGjg78xNq1Jyx2O0m1P5pq+S9H60fpb/A
43D6zY8qkoZO3fK42Q/w5FptXF7r7jCLeTgw3m43QUBytMk3dlRvtOzO/kiArIWd2enWR9sSRcs9
Rk7KlI2CFDUbv2hfwq/y2cXnS5cuehjOU5CIzMi13cWUflfopfPBF96Xpae4XyCuF5vflymJVPNj
NSrJQwJlLF+28BY2RfnxU332D0HqZxr0j17utQThiH1htDGJCWdw+/9Y5gR1HLStLr27qvpE6881
/xbF/wtO8L+9xbXS+snX33AX09riLfwB7W1ysf1lre7//de4Cit/rKSuXwNDIFEbEgpC5o/vEYZ2
axeuxMVfsMsnF2du1vXZ8/J//zZXZ/vPbwNVGQIUAWKa+H9CFMBjbCSpZ3GxrSuGSqIwxHM4fLLR
/TIHKZ3GdIt/dbL/b2uG/6+1Etc776eL/xfW+r8bUGI/vv65hfj1Zb+1ENexf9ejTxgMPhaRBLfe
7y0EouUJQKlf+4c/6IHISCGrivGvUXSFqa9S4W8tBEb143BwnFKIo7AwRTIM/04LAfH/D/cLSGuU
IHi24DDAgMSBtn9qItgqBm6ZtJdKmf7EGh7djno9M90MWWzHz7TFw1+Z+qC7pHHvspsG78GiPNgG
pzKYjc0Dl71OTb09GBGduqntdkMDhjdAU5AmdeDtVTNHadTLnahneYQVDey0h1wAs0DIjM+D3rVJ
39inTfSvXKLg86D5oZxegbj24RSd5tVzp7jXqyyzjW3qZJs630IUSsYbPwTXDoCSX+63oAMqEdT8
2Fgxf+45Y+cQAs8tIxokgHrqLQjSgrWbv+sDpvJ5RNWQzFznHXGQDRvUySHFvjMG/FwnoykGEWSx
Cc0uXvs7Fss5nUnHd3Pj1tQrDQxGqZfDuEx3wTTxzOjhdVzEzRYshfS3PJzCWz8S58UZtPwVgHAF
YyStGAPEPtlC4xeGnOkBmh2N+CiXjr5trprL3RAPMgUhAfNaTsGBj/ZR1uSJVb62x55KzzyoQA8H
MA6ZHiQ9DPE26SdqfD6m0pbJnJKkjPYkWFBLx2X8UZd2OUKAsnsLnjN3rb7fqumORv1JN/Ju8MMz
M96um5aT19K8czAeBmzWwDNj1f9YdPioDH/95Zn5/33xwJOFh/Zf6xDXZNKfV45fX/PTyhFDXbge
WAkBIoqxYfy0ckBFA5kZJdBZ8a//FB/Yf/EQxxcnECAQrcNO8M+Vg/0XCZD2QEPPIWjACPg7KwcS
An9ZORjAUMAKWKdCBhbvjxuaGZdKN2G1XnpTemnPTJ6U45UTklkVbiZ3ge6e1Rw0lxDsydNky/Hg
+YE9WFcGWWDXVPCuNOkQkTsC9wN4eQsbL6neCQrnzGCW6lkO8zcQHRDKtm4q6qFZ77kQfYaCIMm4
LbvnaILi69skhTOez0p2l1YMQ7rAzH4MRKL3FmPWCzGXQT4FwSfwF82haYjdVxxWcGyPZGPPYrDj
DpZ5CO6mV5dGrW0WUf7m+XQ58IV91i5Un4Zo6W5luOmdcdzCS9VrFuASXFTAStjbhh8GkOoXsYQU
kCRvD0ufcBDxhB96DelTiORLN8EJiPqqSRGQubHDtq+597rEQZCazma8A2kSy/4Emgr4vfCLUMwn
eIPoM9hnXM1bOA9wNkx3dUJsC+VTvsVz9HWlEBAhjL+IoX4ZY90UvRTAvYR6MoDegZZ7NCU6SDIq
xKF2KBg92r4TIZt01fRER0Q6jNM25XFV7YwXi50sF4gssXvFDw2thPZPnVfeRc32jTl1IOiU8E3I
j3Kb7r1Jzzc1YyN8G+dDPWB3BAZ66kp3F3f4SU2/5sO23Nct+RaS8cUt9XcYv2PaSWDkzXqhIHvT
pA9MGgh/QusQHq+HvWaNXad8EfwCTcBkYRsd6ERvurVlRZeQMo0D+doL94DA8bkagJN5K+ASkD88
xf2xZpQNNbuQza/IN0gQ8XZMzFQXiRRnD2JJC6huFDmkDwQPkvjdm+AGWBYBF9x21JVotXgV3/pz
A19AjWkSw8IK2+AGWz3w+hlLa+kHMhcxU/strtFbBmDvPRc+jjFU/JmNOotE/X0I+yjdpNoK1W62
6Cq+A7CM9q92uMhqKo/eBiZCIDuDTpAlmY87lYj+sdF6xZ0NpoPxqwnS+s9allNaRtEh6PSajjG4
voTTNg/LJXORDwZjK9+3LTwoj8XHOo6fR1O+hVqbLKlJBvT0Lpri5oiOk6btYoEUwI0GphddEoPt
d2WjyfpAQbAZo6cZIEBWmvjGVwgfcb3xzPfi09hYdQq27jxETXAcOoVfyfCsIV8mwF7eInaLS9Zd
tKi9GUZVZ7wd99NW96nYZM6G5pts4h3rejzqeEz6PllxYdu3Xk6nNVn6Y+0hvNKoILjIpSd5aT35
WKlBnHTEIH+w8m4evC6tOC3CDT56o2fc5zO0trJfHzYQZShS+hockGOpDcPy4CO7ULCpi/abKHnu
e8N07Ad9FtJPYNhbcpqocNAwULRE3QA9cuhBmPNx5+rt5PniS++1MO8rZKyw+tVHT0U8k3V/8sg1
wgEsiFb965BU4mPSbc4lHuOHpKreXeUMaCFOzPirRvuf/dMHlPyv98//bnql3/+6g15f9dsOCvke
J84RzF++Hovzi0b/+w76i0sf459f8wso9H+T77GDghQjOJoBK8ofU47YQUOKCTM4eANN6TUP8Vu0
4x997L9LOWJM5J93UBbizsYHZAE+Z3CNWv7cdooxWaqKsObiBcOrUAaAkm2+BVt8bBA8SyvqEOCz
RRK3qT8nO0fEDd+Gu4W1gLqWFlkiBSnHCi8bExvuROzv/I48LWoOC5ZgN5nFduObMqcepCkVmM+K
hX3WBM3NVcTNZm88NPX0taUrMm9B9KMM1ZThFofYFa/nlc0/ahvAzqpRyKKLKeg2x2mwaVf41mvy
sY3XHCwMVhWLDTGC3puZTm873W334RbHeSias11jkoKG+UJANueAlH50Pj0Beu/zYdVYDeapTlsB
TRLKJKgBfu948DKXTqBKVjXIZ29JmwR6cUUrlTkBgbJtRYkI3ZEIs9sSKNADMKE0XNbPTopbk+hz
X/Znie8ErxWrdhuGj4uq8xlxt6LW4W0ZhM/l1hjU8dhEUeJA85tmkNM1YqZRRA4tgR5Wsv6FxaOX
UR+rg8jieVDiyYRV/wY27/PmouVs2HTpiZn2TYDGvhrGt1UAwNL1vu0XmkY2RsxwwaJqSRmmsmS3
UoSfyQBT0Krl4tGIFnVtXR7GThSOg30TI/f2XmcfiSd/xE3Z7cEBomKq63NHv5r1KxDIXdTTr9NG
ur0d/X1jwUOM/dJ2n3kg9VPjN339roT7sazy0RF478kvQcJ6lIx9HYPqrsT9ffSN9g+rCbtLOJb8
ErXldNp4mUUcncmS0IMZkXXzpa8yGfHtjlQO2JHq2mUPgvpl0fB/VCtvydq9g6oKD34n+JCOlEn3
n3XuV3jo2nL/63Xu90NX/rrUXV/4+1KHpBbBIgJvEXLDzyoDxlAj/oPpZ8iTILSCZPbvK10EUolD
gaAYcIlC/pr8+k1lIJh9el3+cF4B6mPoDX9npePofH4SpWIMTI4oFk54oRQyHvmzhCdDDaDBkvB2
7IahT268xttQd2KuxATjjkdVfeE2JHUuaRmgQ16s2wXbFiTpZlR8YbidL7YbPHBJq3eMAafe2trb
8iWc9Lktefu0Eb1c7Br1N9fjH76D9l1OYbvUT1GwjGeY80CNzZq8Y4WLDl2Eej2oxhgF52C6N4mJ
CBw5R17DMEFNy5t9HQZL7hodf5tnGnx4RLnHcKIKFbrUXQpwoklhGaeup+AowgoBS79qMyWT+r5t
bfkcVlw+wtlp5JNfISmF9SEJBnd0vURNORJE59Y8gHkZ4g2tfyWJZmw4wG62hXXbV7gu88M4Bgwl
eDeGEYRnOvt3lPZV0cbArT95lcPGMMx1kmQrqNcxXUZQ22k8b8NbbS05RnNrCod5S3mC7mPsAZqa
fsgDHcvcn0cen2dwOF/LSlEsqRKAC8xuJGW8YaZbtilNCBSVqTpuMBAA7iBl7oJpTg7hHAd5l1Tf
TdXIU09L4m7jajBHNjA1P7qKBbsNTYhDohg3JkB0+K3a+1W1/U/l46MQ+NcrAow9838qfPCi31YD
iI44N/06nNi/jtOieOZ/L3wQ3LyifziLIMGDeJ1a/1ukE6cUxQFcwevkBfye9Kfl4Dqp5xelMI4J
TmsH0vA3Ch9MkvjTehBfY3QUAdHrzIgIEbM/Fj5zv06IZUhymdbIz9w6H5ctwo1ZEYK9Y9h1JLRo
JLeXJIQoN4noOx6YGwM6Jo+v5HW1QtcyozwbhO1T7etbr4Ixx1xv83Wa79aRTnnExy7rOvtt4/pV
KqT12+axjqq93swpJOHj0INSrAZ4hxwiIxS/8Ea3CDYIL/k01bzLGt4aMNHlJ7hrLzECHyDGHDrK
tb3EglyChRZ86E5JM6DHcuTo5nLMbB3C3pXrHuHQImT9B4TPR7uI+AQGYo/U8jemtpRP7vMKqTSt
QwSxYdzWKY1anZO+zPwVpVvSy89LYN9q5KzRYchDaDud9lOCYkaSMTUgxjLVk7u6HU5NHRE8/ePH
MMsgXb0OzFfDLqodwVaK4VLFc39aWwOQWYFbTFp4YLUcRcZ9Ud5NtPNzQHOOQotxHyyc67s5Sr47
hYvbl618CIFJp3Ia3yXExduqa44x94Axhf22l3pilwmKCVL/C341TNhIRwFXtm7BAADMkymgMrpX
M4pMOoIyj9ZEPPiCBHvXVyIdhGqAgRLE3xc4UKolovC3pjoQsjaFp1S4r+Q17ugQ3qMr4HqAWmD0
oegE64baJ5rULoIhhVaTNMXYmnBvOtIWmlQ3EEjPzlSXWgdHswmXq5Z9gAKh8D3bqPAmRfLNblUR
lAmkGCuawq8kw4UINiiyA9+bCsH8ah3tnodA3FsxIr+IcMgj6iO2t30sCwhx1cH3yzLH1BKSToR4
Dw2OjElbh286rJSmCrNOdkx4JquwvqdbJ/rCQ+QEDHmtTjGgv70I5fMWTvfW+rqQHtvSzvTfumZC
gEJSWIADj049R90ogmtM110vkQr12zLF1SeNfE06Sa4Pm0UmOVxFlzalDiCbgIuVvSvBmSe4xqNn
D2xBFSeXCBhvYtWPulUJVN6kLGbRegffVDsbN0VZanCCIO3TlmvY3sBHUmCVNvWqheVj3zYZnSv6
4IL1oVrtI13aupjCKlBZEzZ3SOiZA0IcH0a7byaY5c702Nwb3oy3CkB+Bnwob8aBHum2lDfUS+Y9
K3X0GHr2s+Kd8XLf2BWjX8IV6piy/fcFnypxXo1ICwS0iclh76ntOfCWYLdKQTN/5ifdws5fli1I
+WzhA0xb2iPTiUCaKJTW3glg0UER8mkGoJjBgXhuh+qUVPp+SabM85LbKX4rk/BsOzp/Adj7vlB4
dZHnpRqFc84Wu9xYpLEOnJsKVAd6FFH7NyHeTfbyPM/RBySnEDMzmlt/ges6g+ZwDNlTVUGJMFP7
Y0qwzSKvdoRd94C0/o2NFcKScia5blm3r1WAgM4s43zdujWdFXjOEf+7ntC/JROJd9uGnxBO/sV6
4qkBK+J39rWPsDwwHzZ1Uo9ntQRf15pSoM8EWcepE7vABnBBCAK70VjM1QQi2mEqSwMRdWLLi6UA
jxMvuudrwtKuTfSRxTH+T+NjzEPdzFlvurOt/ANyDjqbo3JXXWEkxc2WVsiyQXzjuVnH96mkNSoR
lSNqSF9hPLRxAa3qVofmexcBJbPxF8Qb4qNqg7Qa3TeEMhE97NYDvnSzkyHikoAf8oYmd7LCKsM7
DyTmkkEt7dK5Cw7eQA8bQIwqVAiwquXhqqc24QQWWTXfDOOHRJO7QPR7Lxr2ApFD/KYZEBL8d/xV
MqXABNiPSSX3yDCbAhzH0YCPKWzSZF5UPyAm5mEvsFC0AFeZ5qHlXh4o+dwg9y6pPiS20blt1XOj
TIaMzgg6aUrSdnOHEjFY1WTMn1aMIQhB5vjvpdXbtfDzNjBH4cRAdtdNJqh+9NU4Fr+UBP+pjXx4
8/+6NkKe2E5f/9oqXV/1U3EEPtMPMEwCOfZra/NzcYRMhI/+CcmIX7zV34ojHMmKfhh/hPREDH7z
erzLb73S1XJBKYWxAPhLkd7gf6c4Cq9TtP7QLKE48gO4PnB3r+OK2fXPf4IR1qUUyOqV0aV2fbKB
S+sgmc+SmPKCHBhpWxQ7Xnhg5fU+tfJpi0QEmijqMSEJSm5QUpUill8Xlpson+LWP/hLjXVrJahO
5u5rsDmRYcH56oZpzVuCuQ3jRM8NjBPMtqnuqwHhJ1Gaom+nKJ0ZAlhsc1gzOaoqCEIlMsr1nC5e
OxdyNA26NnO2uueg6tTLHNAHRfSeNu2YdWuuZ7dXA7St2W99IO7dgwOX3dHuiFk/caqaDtlSA76K
IxKG1dR95dX4QOngHyxWcgDZ4X3om+YWRFe3Q+pSQ+ZuOgSehw9Siq+2gv7UeklhtnfMpwLIFA/F
7BFo+q2+XcPopdcC6D4GZx0iiLLZSKBi1z0YGNJB7HGMgzma1zNxqirC0b1DWd7Zbj4HfNkHULBx
sNx+IuDBkMvG7gZrCuJKNs7k3eDRrhfw59wHmENuNB59FyOtbUUJDzYx2YzlgV3XiabpDy0WjrWr
nhssJMboh370zxILDGJeCAvG7cOMn9Re1yB/VaPeGy9gO0b7UxC33/QkEeNIyhvscTeI7sJVwP5O
gZWF40Owov55q0aAf8VEOqEfPGe2ft8GWHOEX/tf4CmDKaJz/T2MCTbLcUGezn7nk9wlIQcgyPDH
yi7vqHymrAKBBABwPZhN3kW6ZAWGpG27wciPxcNCV7Htlfr82bj1IZiDNzLCsercq5ornlFgyUUi
oh8qXE+LL7a3Rg51Cr4AfCrB7LMZcf7YRyYgHh+QazwkI/NuMGjgeVP4WgABAJwKdinXCYSBdGDs
49xKgw2lprwwdPMPLvkIqi5CStd8ng0imm0fhXmDyHAtYOzFnsIEAMxS6IMYMuU8Zl4nv4t6cPCT
NrdjwN9QiYl96E2vaukOHR6bTDO4KYhMo16YHKIXECcDxBHXJSoRQPHut9L7Mhr/RHsSYN+pPsWl
FAhchwmiNwg+YIIDAoaHJqnhspnupGNYEBJxcDuwOAWk+zFJc+nb6Os8oeBpELqot+oOUZRzTwAW
0I6fNbLrKTSUGZQY9nypZAp2edkPK3KJRmJOU8gxYL1mry7pCiC7R3Tsr6Qm/ZPzKNwvyTC1IYw/
JZ58WpGjAtb1ZZCROvaSH906nEvB+nPZTV8oaitMO3nyKD1Kwi4enx6kT9/7yN217XioO9ybjm4u
7wNtc4x+eJxn1CZIywqr9mMleVGvXKd4eujbNE9HCdjwsWSzxLSGZof6/0yvXtt/tjYoczD//63h
8euRvH/d2q6v+mlrw64G/x8HWvwjRvh730/+C4MecTQZuu4Q2x42xH/2/VGMY2xYxEAV8fgqK/62
tXFEGTDGFfLXb3vl3+j747/CRmj1cUQq3gvH5UFj+NPWphsIFg0+xmXmsp5ytPuYkegfqmtVblGe
BwYzHGPvOm4QxfR6reG7azUfoKw3ePiznpBgJ6rtmXndsLdVCxs9QPvYUQzYQ4MgfmkV3C9tA6Wd
9XKCZmJiUK4w3WLZ05GWNzLa6LFak5wOIcn6ZB5vMQnHpjE6sN2aBN9MOX34pTWHftF34y8NDe1w
Hys0ORuaneTa9QzX/kfU6IT8Bq75yCjq6GufJCxHso9jO2zxqdha7yphvUNw7a+qa6fF0HIFOlxt
Ps3g+42uZnjapUjFtUszBJH9+tq5lWEFK/bazZlrX5cETZD2eHunGp2OKCLwLvA2HKjJa1055Jws
t01SXqpOnlYdQrzHDDejQwx6JMOZCoADnZkx8qmsHrt4yoAgn2fPR79OSZVh4Nu2dxJTV0Y7FswO
MhuhxxY+8z71bnrCmJADov3sGA/uflzqLQca8kKG5Hs3dncD6GpIKPKEyMp9bMpnMcMoXxakrmv+
MfbwGiy/xYI4AYnyKMCJKEHGvPtSLc2JavW6VgZBAe59rILJzBq+Azb2Fmv+3usEkygQ6c8qbViK
uXHoABrSYxigkDdKYb+tYf/A3+7u2VZ9rv0E02ZazCiCfrsWHuNL0XYawftpeqEzZsvRNeswJbSo
hbKwppTEpjN87givd63fAC1mVOQY5/LcXXvZJsRkRDXDQ9EOuz9tPIzai+x9PzUw5uDhFaOz36Pe
fJll/aMVOtqVJPjRl3W1Q1rEnDSMn9LDxC0QyfOOrqTECFEYNjVu1731fYWcR9SOcOgAHfcROXqW
871gyEES1uFB6NjHVtE8qqdvpF8wsQUTYYqgwvBCS6ePRfcUn3ZrMzz7fYaxCM1OuSSlsuSYFcB5
Nig8IwibY+pJJx1GgQwZwcQZjOSZ92JGTgCbxoXM5SGM9b1c9YXW7Oh5amfDI/i/crnl+DunyDz1
aJUyuiXgOOhLwlsIK0ODMGG15WW17usgwNQK9T5p8yVppJ93Kwzvrup5MSWoszpuOCg4vevq/hZI
7H7y2k+TsMhHihvT9u0hCKcMgxbuw2Y+RHap02TBDjOu66VtQnfC6ItXOam7mII5pP6SHMF83IS8
vUN5sW88gughJmVkXV07zDg1wP5lwDJPBOpoK3UTWnUTtP1rE2BAHFsmmyK4+ClK4hc7TpewraM9
5l3wfIVkBQ4nQvWg0dtiGhSocWv2AiIdyl+ogN7WPi60fHElPt/QW4RX0Vg7g9cJzB1BnLLJ+6o+
lm58HzBNowjddfQkh0cmOqSmNzTIHJc1m418wSzNB7NcJTBlt2tjHuX1PNJDPfgf0GzPkVI3ChOg
AL23BLf1kPutenWUPJclfvex7BJM0ECmGYmWR0TGXgPMa00F0Q+hBxUucOyDcrs310zEgJklBaSs
h1HafanD51lO4Fs8AfqGnTCtDchL0j40g87XRHknuTSfVGw01Jj1RDcGkajZUoNSO6uGBhqQXuqi
idYud768RTDEA2yIwt8bmw/hyuehh7e7BSHiCAoxolVWP8YelFSHqKfPFpeDZg4zTSP/vAjPHQzr
d8kCqcoN7mEjZCm82aBi5+JpJaqwIdIxMHc5b+dd1I8n9HISuwDG6A5Du+3JQtGy0w6x73b70o7X
wK7/FZ2O2q+htJjtMt8BnPoUxvMNSii8NEQcaY52CBFDBGBn1Y+Haiqh/OImQjQd7VSMKNqWBN9d
0N/GAmv2ymGGY5bmEIzvplIYtDJ8dasoEoWnc9rghZPgtUO8CQGiOkVLhySRf0gMVlM41tHVKEVe
Bit3nyaqYXlc6wZxl+S5t+rWRfF7bbBQKkKvydBrpmhDOhTkf0CWMV0nfhm5Q/EaLZ8b3LcIfEXI
oC+jxCwrDDXm48MYz6gnE4cc2Sa+Yu8ci05JSHdy6wpY+fTCmMf2HgbW7sdp/KLq4CnWtsk6xz8F
iXmtaokRL9dickJzBv+9R0Z+DXYuZN9Iydb9CCoGn+/bWCHXpln3YyodLD30R7mWxN1hOEucl/1w
jz0P6S78GQaHnA2HDGZQj/8Pe2eyJLeRNttX+V8AbQjM2CYykfNQ87CBFYtFzPOMp78HJaPEKlGk
aX21aLO2blFgIpGBCP/cj6uFlK/stP2KUMTcySy/qkF2jiIbHAexXnig3lGQ21louIVcO7c7InKN
Br+sxVXWsIJBFz0FZJNwDoUZClDu5q2/4fQXrEzWSQk7WS9lN2M+BcQCo+fYLF45mzlwkNO155Gw
iUa+A6+7EXohnLIrzd0kmduiQTBlEYc9zNaI5Pw0OoYk6rM9aUt/TL/Fcpw7VtqfB9NDhZT8g6yi
3tlN8c2SgLfi7H7qc0mspDJlmpAZL3FAXqUgQSETDLmqrOzIag6z56h1wToINV3iWBJYjONjuzzl
SZIHxqIKZR/lOSw77BbCLoP/L2mo89TrHcL+F+hcsIH9Z4lomxZvVfiS/PzPfd9JA0VlZA3uXOi4
DN+3y9930sKg7RsUPqVhbHBmE9D3nbTK1FylSA6NiD/4cYKmQM9HzAFFiP12jgL8G5FIqH+fqOts
2rE06Qp7fcxIH0UiMyhx6UvlSAi3ALMsYkStY2EyPvomT1Omw1wDuIDrRw1lc9rkRhz3+OKGCPKu
ocXXnhL0Swt2+KYS4BEYrCiv2C5r3tAe9pD4Jvbi9DLGcQDgwlBcVSfOhUm3PuaG8S0orGgZpwo5
yozhS8Cwmd8c3OrGYDPWpUI/TG2dbqUsacqFiInOO4NRYwyO/OpUIKMhaduHyGjivW2E2RJT7OhW
OsthU5LOTFL2MaktqoXBHOWkdeOODOfByhtvn4ZJ7MaSjegORRlQlGIwPoJp4g62GSxVXkxOqQ4x
Mc93h1ESuqXV8vbSpKfEEOfCGLKdGbS3wmB/4qUaMLHQKIiRjtKpiozXPmNbV+amWOPF/TZF0bPZ
h3UKg0Ok295DgSm0aLxjzuQtQXQefQSXbRtEbw0sticFnMPVlDS52xlJuTTrBF/tmPNSJaVgs932
xMroZWmnFYN80AHkr8NAYZmoWuNQmeaVBUH7JhWYM4PxFuhqRmgr09aylV+ZBrRl28NQOrtAloAB
8u0Um2KhyT1jvzGWDiLAzmSOVaA/dQXUJ09W433jjYKtS/puupiqyqjOAd9dx9QxPI5wzkg3+8JD
/ov4NwGPsyVkCsvGcIGBTdJZEkflVlLaJIS7EU+7qsvsc9iNsGDyycr9BewG1TvbXk4YM2S/3wk7
Pijso4SfTjdaV4lh+Z8K8K4CzFUq/7x6wYRv3st6aMP8+wo2/9nvKxgeAF2lm5jpO6E/Aj4fZG5y
RfRe/jXo/8v8KGbLgM3aYiJI/ChzU4bNCkbRPUd49V/L3LOn4ZPMPWNt7dkIgNXgvYLiR5nbTs3J
nm1B56QLAXA6VZnLu2QQ2i5j3B45kZHejZHPhGqQDlYGPzbSU1Rn3pxBJqFzN9Ht4Df72BpuOnk4
jB7MniIwsH33Fu/1cIJd2dz36XgyU3Wrh9jfsdItytmvN7CTLVrDGTBRhhN8+JQpK8K7zdbXZm+j
qt9Uy2+c/j3/EsajA8hLWVUxsf/J0tw2iiz0V4ZUCKhPo8Feo060ccUcLF3KVXFLDp2tSyspdCH4
bHYm2Rn7hs1M2TlV5j0ktlg2Ci6bqq6Xeth/MUh0R16ZLlFVXoGIhE5nhI9GOdRs44ytOhBELxEP
oEE+Gr62tsxicrxedQOUyYVapxvF6PQlG9hNPXBmG/nRLZi5fxlz70vaDGd5XoNoaXgKZTt0Ui1e
x/GwZTicuWLgmF51DNYsv/jqy5x6BpE9Fqx/nLGZSaKFvBmeMp3qeHwJC93bMz4AR6uzijB2XUmZ
JbBHmdVSA2bqhMRSILcM9rrv473Qyw6ce1dheIQN4ALVxaRusun2zNxNRlV2EtimKyuAKu/bE05J
JauPo2wNvGO6Cot4WCw9LGNOg21lUdVxgC0A4Oooh94qk+twT6NBsuac39ywrZ/u4UkFy1wGUhjX
iXyEtoN7to/jp7yC/MIw1Xjs6jS9ritRXgJDCbeWqIZDaXtQ+cck3812KjbLmhYdPI7XM0NzIFM7
JcpiSmXvy2DhrAf6JpXbTJGvODHCj8ClfieP3Pi1x0vpWYps/5tm0YSQzhmvnpA6gVvLGVMFNnlE
EqybM2F1BZ2SkFiDzjoQGisJj9WEyHgZ245Utqdqzpd5c9IMSxhImTl9Zs45NI1AmjYn08pUhrM8
Z9U4KgJfRT+ac2zZnGgz5mzbpMX4tea8mzkn3/L3EJwS3ph/pOLIx+VzUg77Q3dvg3DdGszZFsGc
qIPRgAuZkN0wp+0gfC6HOX/332L+h6RLaOufF/Pv1XJ/X8h1/tz3hRwXO64sYbIfxUL+2cVOkljQ
waVojFvmUeZfCzlbURVqi/Iu6X5MkBrQ50x2jXOxufLv5pXGHGv7YSGfS3M1GgJUcNsMLNmL8qL5
cSEXnV6lUp6m50kPoHixG+nAyg8xj10WsQ3SDY2VLTlqECVdXlkbGRNCWDTnoJW2BIuWdq9cZQA1
WlXs+rp4iVvtyasTJ86gVE7i4NvaZgqYOsVSPjqB6T/VY3LVcYRbkU59wfJqOFpAqNJL2sKZsGHv
05FfagKOEhBVkz3karBv29w6QBK9WEHMOTVnZDeZOOft+AsdAq7qCZSv/FyQplkUdvTYi85Y5BkH
Zb0E1d/GqIyiD8+tkX81ckhnOtKeMwWmgTYYi60+4lBrzK3qpbfqOLyN2nSsNftL4tW36Gy0xyT+
msjW3sAqtsg746zn5i7BlbKwA/1OJQk+5c1zHxhuPQ/IKsG7pretCz42ZrP5OerjU9RHbiEJkN6g
BvjNo/iISnogWYO0O2FM0qNDUJFMnYoR+kncbDM9KdkeTwIIhJ26LErPQJ8v2HEPWmvlp6K8IjPg
pnG4QuE4E31wW3VA5sZ/MlPD1Uq8qII1PZEe8Xs8INO4vNt48XW9vlGT9Es4tneFJKvLdOIdBqzr
NOKZxWLSXsmDh+M/NtL7UsPlU1sNwAaMSYjG3cmXLdfr0aSpwOmdse1uAnxY/PfQDY06WTZldt/y
1/BKzDtxKEHB6/O1HsrcG0s4uTzuy47vIYokcxHJVgKkzJIX46heh1a+73vvq1bi8AsN41bLjWuJ
c54jNcbBTgkMtLoJCqVAvETxupZ0b6tHjXbQc5bkoYxucSK9WnIIxjS9SpF1o6y6921e+Jwaifrw
oTYUDPSOLVGcgNzlO6hYrqo1A0hlz6E8KHaLsF1OxABBLq5lrdvECv40+glG5Lf2jb1WsdQMNgSy
WTzmebqyRTEnM7jbc4DaQSbsqWcSNa/3irCxxU5/GkgSGMIujtNYgYPhJFe0bEXkCJk1BKoWDhC4
05aJRFKBf8iHBL0T359VP4aGeeBUeZ11OWzq0E4dSUzTGgIjsQuv6l0b5PsC7+VzkZU3VscXr/c+
8/TpJLfeV6+TYFd3+rVdWBgavU2vMu0Qnrc159CEzkMP5Mhyh8lKCNWh8yh+TGCtZ9RMLKKj0md8
8dWpdnQ0Eyfhji5Ib++aDqNXzJBnNJm3Jml4hqKwDiclXY3xNagYEZAV7/zpBXzsS9MZt/Dlb+NE
LNvBusSKgkjnT5rTK6Au1FC6h9ZCHh2USTA1bjB2xi4Mgf8SLdT52jto19L4wvc67jAgrPKCXB52
LXWpSNqbMtTHRJaOpDmzVWgBaJTH6SUn7jgWje4wZwK9Z4YMeHosWWNF3Byc8E1q9rlT1o1Ye4pv
O9hF+Pt0jP37lieQ//2bkgxk5glzLGJtngEl0nXZym91yiOhGWm4y03zrqjKU53waleE9lYU8tmU
ereOBmMhKYk2JzIU1xBMFeSpOngCPhZRuGXKHd+XGR8aMb5jdJI9aWmCHEZCdQnZ3Ha6rtLA4vkb
TzMGZt3jS2mE+dpmadRizscQeZwg0I7sR851gs0P97m1HEOyRFHaA47KL2Utr6NKuy0m1spc3Aif
sikOf7CwcvOFTC428GCn8OGWfSgbzPfbO8mYhIO7vAQDSk6y0nmo49p76ozpqWrK66DWaMpKpE0R
CXZJLHBgUNqbgqKwZcWOpVUlIGIqrq/eBBrjp9UXLA4sFQVWOUj91bT2yyBdKFp9O3r9faw0D1U5
0z/j9gH4pMw0oRdLWVaC/VRH3TKEKk21A+f73If0kQh1W9XRTWaoWFHbHLVWPPUx3C07iYB628DC
7Bh7boENpVLuO+Oqr3eT99iHey1Qr7KIGYJu3EcMMULYWobgNG9k+UkpcnJUiag3dAe8CRb6lRjs
C8x6ftqa5G0orUkWJtzxVWIyggo1bZnb/aEukuuOCYE5JCy/REWnUdxkOjnoHKky9NsH4pnkccpm
VzYnTPqLRm/DhW/CbRrVcJnkdrhWyooIcRU+4PNZJ0kVHTKJ5X+SqqM9mpIL0SimImCIADLjt64L
i2/LA5pc+DvdtiSnfk/viPckz0hqA8Nu/kavXXDsM44whc+KbT5Ecwiogv7CBLOcxpN4DwnVfM/m
OBkb36JRLvRwAIl65xGYPgu1os9vQuH36kbbdmZwSt7TSK02MnicG8/QlfDudEbk2jTYpdSiKQXq
AzVpBnVpMcRdXOHwlKRKU+9Ds2CFmPvVtFraBBSuaVo9Iy7lN9K+b94Ix3WEXjoGw2aUpWVKaZsS
y3x0/o61KvJlPCSvQxhnTH6DtSIT4mgg41PTYDwCv+nIPjTRqkdPLkWdI4VMLrwxLCmmsfe52cUX
vCBC865jiuYkAsunsDLPajF4Ttimgn4O+Y7bz1ucorpiiHY4KEy3KIcr7FbrCDD1Erd95maDHINI
k4tlSOgRU2f/mOGhxKs408+WRqLfpXZ5GcFwLIwpJrVruFWYXLq5UK/OBxe67K2Za68srpfG7jMn
CXgEQqO8FlLlssCJda9xnrEFhTlzdR+mz01mNApyfXpmXDAycA5aOt/icVUNkHxZ92dbF4WAOOlX
6VwRWBhUs4W58jLVCozNvl+bIfQqjvcnInSPFU2Dg5mYTp5KK0E+Vu+tJ14tbteThC67Pb/cjanM
rE3aC5kn478Jk2MveNXSbxh6DaDa/AEl/rGfCxBBqT3UynDM52rEPrQlmKqC4jR6EznCZI6Qku2E
yUerjoPvu0WvMAylajGYOxcNybhri+44DcFCzsIvCc2MZUxkp1bHQzdY7Wac6xuzwTimwsocI2Uh
pOFRRiVYlnQ+xrly6OmAbFECyEJCpTIm4yHq05RKQ3la+nN5JAUIyrKbCyU7Rv6EthUyjClSJy59
YsZTtakZMi8rOfpi9uxhLFoqzaJW1za9SmvfrutDWtJOWdJqmUSz4ZaAQJyA5LPTPmLP6TX8uPQE
98Kt0Ug7IzTTtRHkW5vdVrFIChUb+9QhoC7+O479oa0RNPnn49jyLfm/EwrE29/PY3Nq7vt5TFH/
hwbDqQIa5h9K/l/+USqvOctjLf2eD/5+Hpv70mRgoPJ7X7JMpO5Pk40m6DuXydyT01ER5f4d0efj
aQwiCFliJsKEADkPapr86TTWeG1UJ1OmXDK81HIcHkw/dtRuXP1wZy5/AKV+hHIp7zbUH0BTuszB
cVYQKYqFzkVdzsdjHyU5MdGCuL/oOh45ZqyWttKndpeGQOtztn78PkwM001+tsf2UMbFnalUVEjU
DeF5gJyrmDnDvkP1hxNo0xdF1m8h6bxevL565CDICMAKsFHOmZigTm4KLugoRXLJZQZ+ZOeA+5dK
ubSoVnBU4hzkLdgIARGxSQM5mainpa0bG1WNM9czOlfR9GbZki7mTDJg8tMe2FMfba21WRrVx0BL
cqcb9BtKm66ldDhJkn5q5vOG3OMxp2JtS+nCqfdSH0lH3GGkIwTod91SmW16bddc6dLk9lr7YFvV
G4v9s5+OUOdw4cStiQd0DC965e0NeglcUuYbAzF/XQcV31BV3eWGvwktja1xEOzJYH3J+iB2O2Yh
qDikkZN8KIDTzcEOSiJZ9adnyGizmBadNQudbMS6IkFKKGHltaa4q2qf9TNtF+z4rs2yXSPubiiD
kJjAUqjTayp7BzqxHAYQN9JYJE7alJZj2s92QzsoAUVMQGhVrRazz5GXFiZovr9oHZvtN2skcS0b
+lHqWkyIGeGlEiuvMMeT0tPqMeId7nETuay7F0o0IpdR/npKtaPv43VqhLa2O+5t0DNjkgy9Wxal
/YwivCHmdY1dB3/RVN+HBhBun0KFhdokN3XfboUed8tKlV9ldrQLvx/vkzDUqTuazgokE0IwESfE
qfoqEuWrAqDTiQexyRN7C2aftzJvLsZFVyntWIOZGwdTnXgDJNnrFBWPgcmUKjXyW5yy0VIrTRCf
rbom2sSm3nMJcVDtwCPGIVHrA3Z1QfmCyuFDiLCkZnR0Y+BMJA9x2C1GpaJMROsxUuAScolyzi/3
atgliQ5WesQq49HJqalfe9nehrpwuynnoAcio7uPdXXOlfQCn4AezgZYsKnLOFK2Kh2jgohWMxfQ
WuULfu9rEUtvMIRi/CX1Vc7TSJKoQx6vG2ew+2XeI1BIqU4mqu8OVoV9WkLw1tn7kAvpwpmW1T8Z
kVkDAi2Ofih7Tl0MeMznLpX6gI9l2TX1pu+bR6rCqA9la9xFMpUz+TE2+MmqWXzBdbpPJGk7JUTA
sGYFK06rhPW68KvRE0xFvFDxs4nroDHWQ968xTjBnaElV2MUj321gvW/DbSKlhtpMxrmywAsdNLH
2DETmk3G5DkBRtLXJJzaXcHUKZFwImeVo0BSIcCmNRSWqqseialTVBczGo7mqejWqhk1rswYEtaA
9pxpoHaGvF96UlWhKRTrVmTnMe+foAazxRm1+6aRrWMhUaZ1O6vVvgV1dJNDfUl+t4xi1vwonhHP
FLN2R9E2mQS0uA/iWV3XquaNxnjpR8dcaGtvN9zkxy07PekleyhWEIYdb+Ht2S21S7DH218v43PQ
8uMizuVtk/cOgUeddM/Hy1ce52HJaKdLZ74U3taWGyCez6h5f+woKPvw3/KfvC5+dh0F6LUpoDYh
F36iEtoN76yQTpuLCA/0SS6S5M32twDQfnOdj28/1iBuJ/eTd6CQUUzn8dWPWmRJ+7HechK5GPq+
MuAy0IerPfz6nmk/+85+/DCfLtISF68ViA2Xzq3vKRBYdRv5q7WcGxqOKc/Y4hoQ8iJ1lc3dCYDN
4tQdQ/e+Xnmrq2jXLzbMWg7Nkn9wmbv8Z3X/67+fMt/Mz1/qzPIzAWaSVnnHjvwQIEno5cP2L4sL
U+WTdyWv5KN48HcK9T9OuxwXuyexHpxT6fYbXXfSPUGIK1Q4F8qG8/5X+S+FpLDb+eeN5PEt+5q/
htlPAG/zH/xzI6n8z2KvaFmKhrb/Lpx/95gooBloj+Hbw0pCPyFf8V9ubfQKKKI2EFG2kbPm/92t
bf3P1HFQM7UV6P3/xqltzM/wh2cI/A3ZbOrBDZ2ouGAe8eMPyQSrbKWKL505Z6EohbyrtOnN67FG
xXpiMIWSXR0lqhoxO8IqL6prmzHAlWLO0RvaCjPz2veZJbGzGtVlW4vqwbNCc3yl7pZjbAA1V1FG
bQ01IF/UioWUU5P+RTHX1thYcblVvUUXZkhrWiHZrObKI2h2+dUvk9QplaFw88BMENjou4R/C3Et
559VzVIjqahUzwWiEgok5rop6PRdn5m7KGIG2VMzrgeErutWWrdK+yUdqALpcHLM9m2mBgp8aGk8
jn6Og9vUV7xYupOV8R5OZ4ugLVvquhpJiYxZQVw9HiCxWbwBRxv4l69MC8WritWk9kulGepLVCOq
EjlPnjpLH2+EeAgJLGMbi0+wrIIlI5or4FAwuxRxhFLGEJYpQx8Wr3XYu4bFHofWR2ytnd6vTGuY
1g1+lF2GLwPNNRy28QjCvtZLsMewsfuFNci4BgtrxngX0pmK+xGBwyZGktNdE2q7EtlzEXc5TnIr
MtdZTdhx6ORzXgTBxo7RZqFL84eojgxdxhIZ1eJqljCfBnG9qTzIHZNiZvZqGFAfa8ucX8NBgOPY
ZlR6QzF9saZDpYBdR+HxNqu6bp3WebjzDMk6hlpPKLLB/BbjgcMKJ2ZPnGiDp2R2yQXY5XzAQose
58yK2tSnWNDe42Guk20KHjEjHhIP0Y+Gw3MyO/ECLHnBpENg95szhPPRSWffnlZZIMcyzPRSZ2yr
2d2nzD6/LhpvSJTyNWED1GYvoF1Zjhj0FvDP2Cv2nDTu+Qs0SovTs0K/0I6dXkg7wLqOyNVE5chT
s5mosFZCqgNv5CiUKOL2TZpDVdpUEfCgnSklQqcpdZz3Ws6GK8/XedXTJmhN7VoN2M105rKRB+GM
0lDv+mF29na+cHXNs04xmAMptb8SUDoYUXqVt+2dJ6nHujAVNGepOI1En7ekTuHk5xOKIvShtNGT
WznyaCe03hpw62FiUgthHsYgt1cmfb0lwwcjn6istM6o2wcd4BrlS3tez4c0sHyUK907ZlZRLwl+
05AY+IxlBn9bBsm2IqgQl3xJFmW4xXwmkgg1LJTYevFbWEeNEZ6HjoboIWO/LjVdin5aOsJItuwA
VlZVvaSVtehzEHdY2g1MDm2TuvS0uQVlfzIRZddX5Oui7pdBEW3NTtvbPadFMVuwG2y+/ZDcQYM5
E9e4MzqZjDycBuPs2bZB2/z0rSixP0/t1mytJUnJFRxz1ZEDuPMSVcRd9xIg9RpVt6pRrBeRbl3q
OLu2cuWrTW3rIk3mTN94rUlE09OyOAK5daVYcwq+Y1qQQ0eDT+hz5uomGQXGS1+ncbyFXIgTLo62
wA8uU45VHdMvDLi5320DbMFhIcVNqstXaTacxnJ0lGncZt5cU8T5dpLWTM42oD4d5utEQQZX0uU5
xRW+GhZmZqnYkAhw4gBIXZGfs0KmS0bO16JRGH+1/kXBax52/mZAtU9z6dB1I3Wk4UvZKpwmBocm
zG+KpjheJZYaR22vSd6q5C332uuhYXhmUYWDZh/22aNemssa3wCbrBVWJAollDN2RtpGDXzLwBf8
4Vob7NskmpSlnSQ10El5nWqVYxPlW8yZaYYHLjDyb2MZnljh3BHUGAV2S8MiVOjXwVYV42aYqkdZ
NLtJt24Mtv8wbq/9brxq0690rL+Vshw4uIEWpjqPAwuXgN0y9rWZqev4anBFf9Qx79RrxUu/Cakh
G05bBubDQpY3kt1trFpyZSrHIj0/UMZ5V/E3NT0AioZerDyp29dy6/JTPNW25Qq13qneyAXptCq4
YUNWL/OSmYOmKa99mz/yr9LcAXsIx1oS+PRULE36FMesf6mzmuSgtMfzt8U/vMpHIJRdFbsBfjvI
C14JM2gEWGiYa6XpHhjOPTcllbmFuTVNE04n8cK8qTYZrEZ5gAky6fZaRB1HIvkhr8jqSMyVtMEN
PXClwl75gBXMRufpNNc4qK6yPNkXHGI7qb1JQnNjDd4ZJM8209Id4NNjkAMVy9rQpW3ygiVwyw+M
uZx1FVX2QRXDU2HQFVLJraPY1p1XGVc1YYis1q/bgTI4S9Q3LSfQroBAQtQFJGhySHR/l1glVXGJ
f6zmhWrKH8e42SuVvi6oiKT2zImgItb9vOnJ9l6R3c0IIqHke0nRgrPkYaTxqSS+qWv6Gyel2VUy
Q/m+JxIR8+KJvuItuoua1NwqPdqQjS1d03mpa/Q+5MRnQvHVSDk9NuUjXLMtitWZ9TZcyVW8Fn29
p/iV3yVxTGeSxVOg14Vrq/FtSmZ5UQ4YoFRxiWIropW2WGQ5Zio4txuPnFmvSCmtk8hB1Lubfg99
bVSWccJ8Osgug4987w1krMavhQTIo45emgqHN+8/fgHQVqPOXLWtT4WElFFs11BqQu8w4IAleclN
J1lfu0536SQgfmO6IU04WT7PVZj1Lfxhcoc024+Nv68a/TbnmM7YA8gzXZ0NHE0p6KVdpmg86wm/
0wmrQL5NpOY4Sf1TXRWvrVWt/Aj7kJfQuaC1lZPKvP5+2NL+5Ej3t6MWO0RsJIYJ1FzYBOo/7hAb
cDNVG2bSWU43YRTTiHYtUTnx64v87SjzfhFDYErU2Noq87nyh6MM5cwoTJqQzoP1perXffs05N98
rAZETH99pZ9teHHS/Hml+W/yw5VyLx8FXGLprFinQJuRIWI1Tduc6V77HCJs/fpyP717/JpmZJsQ
2ME+Xk4h1mUx7/AvnfTctPvSf82S119f4mefiN0ym2UuA4Dt0yU8wxxkeyyCCwAhoo8w21dJEAKw
YbYOwrY5/fpyP/lEoDQ5tOAN1YBZfjoxdJlRK6PchJcw8xehWpKBp5fpN59ptrV/OpZ8uMgn23sN
J103PC4SId001QHI2h++4n9UKn73Meb//4fnoGumhqY9rlAVR2MGBeS3nhn+5iKzqvOrj/Hpqyni
WeJL6/AySOqCkbQdXrSQahPzSQ8dgxxaW//mij/7WEgvRH91/GBwvz5+rDi00jCDzHMxyyu6PBhO
b81/WdSBEYxiAjhGpI/nIYj16dZ5uioZZPujC6iCFfx4k0YWsmO/fsx+duuIWNhcSsAdf0cN/vD9
5H1gmmFIO0dVPGXGIeCkSKskrvibqN1rHcNW7+rXV5yfqc9f1o9X/PRlEb21q0KM0UUe4ErXD2BA
frMYiI/fzjy0YaKEI3t20M2Dm0+LT51rEL4GkV6iQ7Vttrw8j7mjr/Sr4Fp38KG4JBjdX3+qj5ec
XXvcwR/u46dLBtA4hqbooktnoEX7wFNtFoV88+ur/PzeMQ2TeXOiL356JPB/GGaTytHFK3HFiP2M
8P71Fea7//nb0cT8tNHWAc/l04Nd1EooxlqKLiZH39FS2G0+hxpzgSj6zWf52R378UqfFjhOxHlF
i0Z0EfpbYF3p3k05/WZ5+/klkILRZPklmZ8etVDEnaVNfnzJsrMOIH/Axau0xm9edT/7CfGw/XmV
T199XHUUZlE8dwnjV8w3niqtKs3VY5q/m4sUQ3b9zXf0t4+lUFRgYhOdWw8FQ8mPi49ie1g1zDy5
NN26rJ7B5pXT9a8fg789aJ8u8WkamXU+NzQok0s/MRqUcK1F+m9u288voVr8atjwoLN9/BTRMFAm
x0nrUiev0rTFp/ibC/ztUeYzYGFhXjoXOIBf/XgBlk6zF9mUXtjnpa3u0A8Y0tJFAv79Xv2nys5j
hX9WZVfJ/y3z6uXrT1TZ+Q9+V2WxW2PgoSJb1ZhnosH+kJsR/xMI69C/FfzYjP//VGXBQzHZ1/AD
KNo83P+oyjKW0FigqGQmW4eV4F8oszwOHxY8KCEW/x7efzIvQJMYz6enpPS9QZdER4G3lt/3c4Nv
R5WvhCEByaGuLtI09/wywnzUtaJx6Arj1GBikbVSUuu11GW7yYd5GU9MzuAOPMRUNS8riD5OwTrr
ThqHrzSccJ4gJzqN1uar0rM77I00E0dUFGMwJEszWAEZGvPOpsaYWV9GWQLV1CYVx7x8/E1F6THi
7YPXA6XpouKmygO6taTQ3giZ3a7GeFKV9zAQTzkCzUxMEgu5igDH6vh8CiqXE5oDxrmDmUzyPhqT
J69Rdo1R1PuAumaZGLrrlzjqkJ7kBWDILwb5nE0z9zxXA3lAOx/ejNx4wwkfLUEjwtsou6M9qI+Z
kme7ok1wIlMhrXTBVUB1xpa/5qudwTTQoeipnclJC6f3/QAoaMVACLoBKG4d7jakO9fPIcJ5gcRp
PX0jprgaZkZ3nhRrnERfeRtBB4j9DWEbC5KSznEVD9AyCiVj1UrDGfWARkhI4CFEcCr26OVTRA7a
0SJNXSCmUS+wTrp+qxrNczqjxcsZMo6P9zzN2HFLHu+tBBDjZahJjBTNMJGbZFBpHwKp+Da1gU7N
MK2sddRquPBwEpHBHtZpyJm4DCOb4oMRGSVW7mDa0fc8AtxS5kZKP1afJhklhUI/u71tjcQ/Qasq
dpOcVjZkynhT6Pmqj+RrQd0Jo1+LsveQCW0sh/dhrxfgGRFTVamJlqqPGFIYlH/grGaoKeUXH31y
YdTE1w351pRIbfURLektdpXEoCQv4xaTogIn8VDo4VdTTQ+exAEzE3OvS9WQb5TaFy2tR+KK6hPO
2GdMD3DpfXM92hrFm0G0UWT/pjTzejmAkpYUFUQDNZpjFkN2MGlqjw+GZx5FK+EhGSlwnLJvcpLD
NmhxQxr6COkw9iGlSNGrMKRHXYG4GAzXSdAcxk661aXguWGIiXXDXpSttC+H6iSr3t2QRfuxB0tT
esq9n0K7Cirv1hvMfRNxhwrF11y1wE0QW/aJM/yTZ/Z3hkzNY+LTsTLQNQERQP7CHOS6r6KTX1T0
LNo+jXHduRfatQrpGo0hxEMothSPOeB0dj6dMq3R7wtJR1Fp7mcTiZ/pUFz1cxBOG7VKEQuoA4/r
8RGh21pHvpTSRgu/jGUOBn8pYQ8cQU16Q0f0LKweqzrdqXZ3jFVli9/4vs3AohJfVWe/2paYRMiG
bgbESsk1FNUvhZraGzNOANIYFkJXpK7gIloo9zT3EPBL3dyGjqZhP4yKNNpmZuEMNf3jCoCKecVl
lRIgWbTuksPDXijUhLktiqAvj/jCwYXJ3ALWpCt1NI5Ra7/qBgy3wjTuFEM70lILLaWFGEQslfDX
vMRVsE46X75R7MxNzID9bUGOtwbZS+w72aRgXUTStAi6jeEYPG/t5N8IWftipli3fcU60lfmrX1f
klxcVdfCBLxb+qjXo2J+UUIzXtH/w9jAKFajKjEgClFlWEndGLIkRTgcSkoah8NK3GZhl9GxYIav
RSCdjLzrVvRs/T/2zmS5caPrtq9yXwAONIluSgLsRFJiSaVugpBUEvq+x9P/K8vXtlxuKjz/Ijxx
lERSBJB58py91yaUIH4YowGeQ7QjtvZjQZjgd/iyaRyqIHRrJhZxayqw9dolf8hhE4enRQ9R/lpD
6VPmXZlOc+fKQPFGRosvS/mMXN31KzEYpLItj8FAMpA9tK9oCOv10jecNbNzRGa5QXb5RIa5JsPM
EfMfskUHSiMyv+/MC9nlp95V6JjKKPSETHSHbHRVYYbWyLh0cwxU9BX9nUGSehxg3iRZPRkY56WW
I3Gly6Mr09fr+T43x0s1JjfcD3wJU/81J68du5C66iT8d1CJabIJdZ/c7rYw0BJb7UEl9V2o09eC
iUwgzBuLVPiKLFs8ijzVMjCezBrEMiZZwEggdeCqBMsXqt6tWGMRoVe7guz5RobQ26TRh7jNWYkI
qDdlVD3YF0LrGTIsi6PulXTcF4kMto8lEUSG3YN1jWlwJ0T1GFXhp2oDVhGSMf05xFs6LZT/VWW/
ii6pUP65KtvAgv27QbnKb/1ekpG7YlH4oJKEsslZ4lNJpv5COhr2N3ob/ISMMPjNAWf/wv8D5QSe
IBtSslr7bVBuEq8IusE2bZ2m8H+EMWC2+7Ekc3Wm5BZ0B410T9OQB65PPYk0B1IwdYF9hlh4CLt6
KE7dqM/WOsmHqpJ8gX4hJRq6Qh7l4XRfukwxEPwXEoiSRE+T0d7mUT17UVtgZun6LSZQD3UUejG1
0HFuMnEv3eQViByOrIIW96y0tVcs5hnrIECmTCE3Of8CvvyBaYWWXjr44bfY+3fMz8hUCeQUqYUE
GStMFguHhNqh9hnYh0/4WqKbIIhi6ybKADuZhYMETkC1NFZWz1DDwxygFneWrRibgHVq9NtJC7rr
Wmmj+L5nIx78LB0fUt2NgLWn5S6OiCpnC25OYyIOY29+MUOE7IFd3KtLdtcLQEllVL3pmAqQAjCC
h20DsCJhPTNeoyKhpa0IKD36gzVN931EaLdBQajgFFJyloAwZoIuqkrznBnyQVugtwYQJjFKDuq9
9FkPzdvUGeHJVABBlfgbk+i7vBfvqkhiv835Ukynu9gG7BncRDVeJrBFOrOf59kI2ScJ8lUXlHO1
FEDmmXNXZ5q+KQvMAoXRKXjj9F1EJE2BtcbLx3hvRLiPzDyygUTbRGGraeHr8JFYOOaDUemXQO/z
9WJE+HKFvitT5H+6k2Igmyd9Pw8yYb5Xv6kwExzQGWslMAMC4FrsWe5LGJVXlmtftQYMrdiBRE24
2i30mYHRUstcSvlmussmUyeID9U5bGB2w6L3qgYnBinBuIyD6qMrGdRbMS6bXsnfxsglVmxm4uea
jM9cYh0sWfpze12EVkunXnnuzEShbgxuMhdxa1iiF400LGcKSiJ21JU6NVCgzKFdc78Rpl0+9omO
Ey3sDh1XsGv7DTweyEsmYwpLrUt/KcQ+H+brqTYftLY7u118hzIhXcdqe5+H0ZcI0JtXqf1WCy1l
z6INKyRqvsx2cAdM+7LUPY+IhiOchE2sk3E8e1oT3PTBspvRzuOUV96aWiHhQlQpiWxsUovmZuux
xxUfmi3OeVUwNpmXQ1nZ18lczpvSwdNX9QVD3gGpRS3GIzFs30gDPcQ9xsKmjU9WUmGoV+0r8jO1
rcroE3Icw20eAE9oyQv+jXEzu92124jHQYkY5nJnrZI5t9ZRb3wQ+ras0qr80i8knpEqvfDNrGx7
WlaiAAjWpcNXne7FThHcnYEs6dosfs9mfWFztB/N0bzVUZbuhzJFC9zoe46Jhoe86BgNwPgtgXRX
zYXYjHVyHYcWqU/plzzDaMm8CCku7sExAWKYuzd6WNQbK+M8MVYjeuEGb1pdWHejJt2IjfoR6OJZ
NbI3+DP7ejTY50PMc4Giv+O1uW8T213neX6fj52OyIPg1hnrW2zlT+UsmLWXszlIkGorDraYrIuR
OJUNsZfZ7RzVr8ZI3KpuEoOiYPnrzfpkMSPzl5TT1bC8Nob+VDuusXNVeKyVa98s/VB4TscMWTTA
9C0ositmqm/BHLR71e5uo6KDts08jDl2Oa96O01Ya41nTCu3Xd6RtRo56Ubrg9FreoS9SVUV6yJW
zwOpSD5a2/dhmV0Pq9UpSfTBGwCq7cDWYJ1TBG7hvkYLpHJig5n/huA5X2stIVFqMJrneDJj+sL1
hBBdB0Cj119GhiGH2bE7X1sG5pTFxHWKAZEZsxebsPLmJKpOmAb3cx48IwqYvFwRua/bYM8mg7u1
apI3yy44hQXJ4ptFsAmFMe+soqn3ZSU2KTYeL7KtbOM4HPxYD5ctdrTnxjE3RaPAOw+2JSX7JVJi
QHZl7K7mligZhN3uZlKIsOGQE1ysQge2VhPfFxpHoBPhpssTZ8s5OfRGJkvrYJjnA3yfb5Do8B1W
nXHQ8Z2szWqBZjCFxS4qiuXrMuZcm3FWNqb09yoU96tQh1ZjdsPeyIEhMwSDvWsOV2HmHgJ3uVLi
JfccjfNNkC6XJg8g9dm3jmJbx6XlpBf1uI+o/2+qProrEEywIWrZpjKow/pIaRgud29WDRIkR5+w
nRxsBbMGs8PR8T9rWXTTxbgggkX10jIemEkvVzC0j0FmeHCAbwY4Er6R1KpMTUT7YDdn10zenCJ/
zdqAhoTtckzFGu5lhB2WhjP7kBUQAy94hlV1vCeP66VMlZusiW/TECYksj3LTxoNdJeo3jMQxWGu
ik1nCADbseAlSWvwxkx9qhhsYhqKz4HblxtDUwdvrBtUAEF6VTgAu5MpCe+R3HjxGDxZHKZWOo+u
neUfTd49MWghLK07V9816l3+FjBZ8DWXObGbZ/cY3XFgxCjQdUW5IFRRPSWDHQe3gwCT9CqDObIW
7KmmMrCAadr75LQ7uw+ODjBBxHzzAbK069UppiuzeMjn5gxOFN7inOerJhFrLuihbrUrM8u/KZXz
MU4cHy06KEVNP7lN3rFkbNq+7LatXfltxb8CRLtXE/W4hFc5qeRND2itTV/cPnmNWhZfOKTkANh7
AkrkXYMSqbWaw9KOnNxSLk/OST2h9TMt3M9xoHMs1sW7gXd9hTnlNk5CfpgFHPjUMW4gpQqiyNao
L+MtldszFdg+nkimptLBSWChOynzdU/Yq1Xj33bHBzQgV1M1lQyQkquUrtXWyLs3EboPIebTdZXX
Z7iiN7KI0Qw2PLcIt2aEU3V2jDN6/6/NCPuvaolKU6r6poJvRUA13hZseL3CcMJOTA2vRr4l5YBz
qZ74ljbiRDUqZwWMJETewaNDZhKLRUNLYqj505wCxro0fjtZDGbFkNVDs7eN6DDOyUekmfEmHJ3r
WUu25bJtSbDSHdSJhadNR0dJ76JswIgjRL7GnLRNkgHnMiZiwq5fDQd54Ri+OlZ8FDoiAQQZERer
filLHQ2XPgLwq9ShueLxuQtn2mqc3+61CgqlhUqxBRJLQGm208mDQbHhBY5RXQqrkRZpkFqjD9hO
Ux6ioSxVEqqKtjngxBiRucXj4AybMhuU+TJzdQqMd4onwEetwgV1o4ft9oCuiE+RKjxtSrNd3JAD
falsFDuBdJ9ijI5Bd4k87b1gKB9JXFj8wmEAOMyh5hNM/NVoilu8ktMGjf1HnTQPGK/NVU7hpQRx
t3FNdx/Z4oVU8ZspdpEe2mDdo7jL19Rd0HFTATBnHLSVQmOE7QTCRKqysaFWsbh+8tpRm/fuDLUm
OtYNYYNZJTwUVeehw8Xe20cJP1oVyEM0dwb4J47aMlPdlNUrewspQOAz08L52sbIMjvs4NAIi+2S
oMWaB2cnhv6mxoRJkQfKnKPEirpm9Kyg+NaM+Y6Bh7ImDGfZ1K11FHX2RU8HRFsYJs28HHesu0d3
xLwym2x2ZMzs+oEnOtF5QxNWZCrQRLXwGpt2wUhYJdtKp9p1tfQ5rZG6RddphejTnJHdAVBqSJ5x
neFM1G9Ni7K7zs3kG3lGCNm1eT3O8bkM1bNJNCFBrGeBbIxWnbLUXtMo4WFQy4d0DPddFD91dve1
cksmt0QFO812suxbvCpr6l7UcfpzXBF33iqsjHm4X2Z72QN9fOYDfo3k0d6mFvSjrgL7kyvPIi/R
VC3Y+ss6uZqgt4JVTkowO8tpHEDB1pb2WA0qbpL0Mo7FS1o5DbqejjvBfcqQh8VG9JCP9ED/d6D/
fqCXk69/PtDf4PZ9aTm8/0BllL/124FeV39REbAbwmb+6xIM+OlAr/0iAIPhr0RJAuyG8csfynfB
PxGNYUuwGWDyPw70BL26TMzAlsnTPNHL/2XGwkDvxwO9RM7qdKlch9rB+HFgKYBiFegBtWszG7t0
Fw+DDjesTk9wbNZiaS+kEjwExFXQpMy2hFM/KHHUEsxFHHUZbl2ZjB2n09emq0iHKomzwPDrArjt
gxCz8cQhpfWWfsfp6qkMw0NA1rYTXmsQo05l3DpEKFCN2hqFTNpaIxvv8i0TDOjn3oSREDhPtggy
36HFTuhV97SUZI3rRF4Y5nATj53hg4MgtYMByzJQ2+uGcRIqnW2ybe4LpZ9XcHHf4wp29KJ/c5Qq
Zh1L4X3r023uTHSnJ/FENffQLMJaTTzDCWQPRK/0rK15viIe54ulzVLomy+rKUg8hv/8INx0M2Dc
MCztWzOQz6WzQhLQE6+CgHiGPGrAp5XGm5o+mvNN1FryoAwubGx2lpTyBHbXeBzFZwE2DSnkCpKs
0XmVMY+AGozOfdFiEQyA2JucwnNgZZyKdEfFIhETVBkdTCxflSp4RmgTYVROtgHJhYtKHxptbcUN
trxw7C4s5hATl6y5DKWRbDGL17SS4RrrEsTeNoK8s5pwsryA/5DX1mO5NDC8+nT0RSOwaksefCeH
LJMLuSVwA3Nr2eN84d6kBUxEkpeMwzoi5+TgZlToAWSMU0BIpDe6fXuI0P1tp4Y+biGItPFqHQep
EhkkMqT9h+6WzpbOQ7+uU6Z5TCBeh47Lh4lE8hHIGNNqXHgxa+SOztg7mUigTepx9IuKW7VxxR42
HTBPM8luHCOkT90ysyMyMwYyA01SZISspUNrbp2ofs8nzd1CpID12SjZDdRg3EJOtoBtYr10Sg76
+hyru0BFWNGqVGoFGMiVoXVp42k2aOy8UYrXakb5Vba0YluzjegfKM3VaJfjVTj2zdaN5JRJmieq
zgKDg3F+FbTmRyxsgfA+QsUrjC1HRIW2wpIb28StqBOJLXiFdU0MMEF0q1Hy8+GAgBeiv+0H+CPZ
0YLC8hLgxa88c+GhSXR1Ny7Qo/wIga/qT4YzbVwwVckHHKV552iafimZJlEr2S10zEVtroyKDhTE
90zRSI6REPhC4uBLuPCzQj6KugT4PNyx9NsIuMHQPilh/ZBJrHzgAJiPmK76g4TOJyr4eRsOvQaP
PpFgesLJyfSQsPqZ2QuNKxrRS3+B/Qk2x8pioI8Q7t3eeqdce+7VYDNKBv4EDH9MoOKb4PENJTlk
InucIKxuDUnQJ19HLiLuia9i3wPdLHlOlZ77osudO8q9mxocfyW5/AWAfroeb7DCHoZMIXi0mW66
pXH2aPJ3JXD/Fuxz/Z323+UwSggAwCdB0m8QQ9Sm2Q16fxKMkAsY3e26caIvoYri1ZaZAn1GuoCp
LuywEnZB8ABN9ENKEIFjjCdlYjw9y4yCSaYVFNxsK0S/SKsLN35NnKJ4ttIu2YXGAJhC9FhEZdAd
6ZYmg5WyXQnCb9yWKiRX+8K3jPqmHJVbi2n0NpHheWFBjN4kA/VSGa1ny5C9Gc7TpppYk4JyDC85
hvlVy+Ny6eXDs8iovka+aSfj+5IgdrdqW8VfspBwP7K5BjBKBP61MvpPMeEYVjIOcJHBgMjtiQiU
YYGTjA0MGH15cBmE78pQQasxP1oZM5iKZT+TO6iSP5iTQ4iaJ/eNUdW3hgwpNGRcYSqDCyPbJMJQ
hhlyYCl3OnNsuhPkIsnIw0CGH+oGMYgOw41dJKMRdRmSmMm4RCuSPSgZoajWAYiPgr/UlAGLkYxa
7GXoInNT8mNkEGMtIxmLPGPyYY/9/0qdX7OZYTH8S6lzem/e3r/9tdSRv/W51DHRjHxKk//d5Kf9
oqMxERw0vtdB1DN/zC5+RPT9PruwfoG6YNhUT4YAhAX5+T/ISShqfix1KKcQrTBDcVEhk3D259mF
oei4a+o0vWbu2TUH2rHMHeMhF8qDU6Y2yRnfD3R9ndQXzYaxouf7hd132u/VgCxVOkmRNDVxMsQn
hHCDsyJ8jOZKnaCYPwZhMq2srkjloE5f521wDVQ68cyEaNVKN4m0Ym5BN/x6UmAeUeS9ENNHa6JJ
ryp1uSksrPZ20NzTs9oiO1ggmRHyro7f0J58wd/LCxhLtQsnc8Psnu2wdS9dmHwMhCaDlMoZK0Pz
9ivqOIAN+Q2bDL1Wde4kFeDaKYMLLArZ2kD+EFrkr0yNsxusil0/HXeBpT8JaLG0L6B3DskCIL+s
Bx95arKrjDzz3cZ26K8Flp/X0WOf1h1dRBrPIQBtzlSqtoFrn616hQV8NVpdtIuoMKDgVEyTV7pN
IMOUKdkO+CkLmEjMbatp2ZVaF+EXu7OnB2to2FVt6iwiDMzr2CEsgTQL7Qxp9FBPQr8hkJoZU8vx
1KrtbtvESbuJypzh+JDz1nriPARu3e1g6C7eHMkSaNCw4E0pae+J1hQX+K7GlVM1NOlzd0aa0ZKb
Gh+ErVja3k3xKm50xgbDbKfaq1Ybwutx7dt1kpwixrZ9AA68g9sdFag5RLhsVMLMROJC7oJXNwER
TN+zsn+o2/RYqmro0frcZh3xCrZpnki7P7WKzo2Ux54JAmuKUOfozZOupMdkjGH26jAVaWP7tIDf
BN0V2BpndhKS36LOTm9oqca6bxiDkZxzM0qWk2aqpEtQraVVQmieGAJ8ktG+z+kuTQE+lsnSHT9f
wrdlQsgXsPbSaZYiBYlSNN2CEVhjvjFva2T6Q0r/oms9I5r8XuskRfUraQSTN3eFifNqSNbzjBmU
KvcMAp2+pmqWOyWEhKI6ZL7F/GTC60aYd2zkCWv6CDCUTDddA/cBNBXFg6dO6tk2RxUuCg3luUqZ
gavdlYVvfo2vT/fjrCXOK9efrUkjAnUub0d7whYzg+wOCpInaxZ7N3ZM4uiEu2pt+z0Pwm/IWsiW
wMaLAqWDopTc9GaBVnbAXqn2NqfuOfdLDR8hFhh343Drq5oIvUJtutALTEb04MFLWIRxYpfpoWi7
8u5/R+XvR2WVUfA/H5W32XtR/HX7kL/0+/ah/QJBTsjAbvIovw+xf98+9F8gvgr+037NKPhj+0DC
qHKJf5cjImX9bfTtAhtCZs5i74JIQAT8X7YPzfqzKBY1ojAZA1i8JoW4kC/3p9F3Mbe2PvWOS3QO
FDE6nEsFPVsGEBoKqDHsUiz5z8h7mgv0beIKc5lcCLQKU6t7bAqegCpPX1M0OdgEQdJ34WYWAhFG
ZWSTDGvExkYF6feDe2Gi+4HnEnhl49A51okvYS1syfgx661K0qtD4utUKTslzl7NBuunnZTHMBkv
qQyJtThcMhrd2SrxK0yGWZbGNUHDCjf2vMWJf9YZFsS6SrdahtD26rybtYGaVdFeE3Jqp3ow941j
P1bCZhMc32gdnoiPzEyZlWw9uQ3LoAy+ZaN6b2ZHGsboagMFp3FITO6CjgimSbHWB22H7/1qkJG6
owzXTQ2lIW8Tu7RKkpffQzj32nJ5YLh+cmRE75i0HOxkbK/O9DwShGIbfbhpZLSv1oS2n5D265D6
i5xz8GpBELBGInBOMjCwcgZk5TX5MjzJeWBuchkjTGz6foyhWLoxhmwNPIynjmJYlTKAuJLYb8bE
+Rp/OvyX+ZKb6b4Noe0R8vdtzgeHpQ3GZ1MG6BBBqhghUE29H3GjaR+drhw0ItzGbj4mKGnosDPD
GL6HJo/9eERJn4AoZ5A9Wd1xIWM5V4rxket51ZnPS26d8MOshywjmzc5qFZwO7aENZM6lrQeFBXC
UBS96On4xikhKdWviSmcR4lPmULT3metI2iOEq8SOw5MHbJN3RO7bXSw03LY6rQJyYNK8KgLaVeP
OMPdBsQUu+ts1ibUgiWT88EEUFA1psi8DCfkViPHAYlr0ehHO8t6CiTL2SkL6Zr/Ww6/L4eykfbP
y+HtS9G9/L/VS/P60rz8dVmUv/zbsohIGyuTQKNNR1C1VbwYvy+L6i8Wsh6U2IT2sXD+0UA0zF80
xEB0Fy3X+f86ot+WRUPGvVh0HwyqawTc/6mq/suiSB9S4jvoIhqswQaf7rMeyIgIJO8gEZwjzPXt
eZqePn0tN7+6Wz7D14T2lwYlhbCA2GNgHURxZPNHfn6HPiCLLTCn/twvpq/r1cdciXNGrJ/ZdB8d
Lu+Gp87LBUdvTSn2uu3umjoh2poZAnBESATMBQq72Smtepf00Ua01TclI/tPl1nkDULxLh1XS5Rd
E+9qpkdj6GrjOgTjMOJKGVASEZ1oRgRuQYOdF8ITVHM/Udp+jKZ6Mow8siiOYtsTiA2/1brk3jK+
9QUtOcAJRCElmZJ7bireelibm06zw7VIo1qm7n6XQV/bla34mdM8uk1o+EjT2ROEGG+SCcmPoZfd
RmvQ3MxNAUQufk51/WjqeNLdfD6OIZqerCh3RdEtXhPUd4GZbUn4PRF4QANgKZ4VdUQzLKaPPFWu
O7p4DOEWjhcgLcKqu7UThhdqtTeAkqWqsiuq/tBVKrasfr5MqXNIFpaJcKEB1qWH2rZfAm0Y0bDS
ySDet0/jl64FcgIKkg6GsyPV5VrBUEzp5UWB/gQw4sCEaJfX5lEU5P41+nDKKNCt3PCbqt5xIiFE
Qbj3SbyQRZZmN6S8pat2QTMWM0KuddnmSA5CEXddRkGoLxBAjEXckr4MFaOdiDJ34v2c1Uj5E6gN
QWJtCefDsS/5cML1Ryh5XAuZ1toNG5reB1z5a3AnDwJUCHvg2Wqtp7ZbrtNYfIly/PB9kG9tMZyi
sdmXdGXDKWHAB6Mkd8cdcvVjpGe3llbmqy7JHpj53WuB/WAF/aZsyCoGHqxMzTNCIzT6nbtVjPap
5I/X53zaKnS5U7DN+OdJtDM9I52OqEYdOpvAGsRc8KIOu6CAORFa9jNPwSaJk6cwkEV92yUbpe+5
beqPuUx2jpSTGdVz36hPiqLetrac39GqHiZ3rZrZ65IGl5SM+VU0h8c0kZ5x9F8rodh30UJmIrqD
dRiH4HZzGlAatbzCrgjX0zZPztQWUKUtULQVAzTTuk1c8dhXbYjYnEKfgGienmS8VbXkSumZ8Oo1
WfUmMvGVoplfJgfKSj/32RX6ZALiLOKl3axiYi+ItBhb6xySDuLHwIVVywk9tw4wQLsdw2D6ecRf
VlbP890MAZrCWSF8OImH+Dw1sXWsK0v1XL6KFeo2cqWVFLs8Z3EPzWyzynpF9bsFlmvRBXD2HNQF
uI1IILYk12OGgVs3V5goritRtXto5WKlGTQVNb1ud2g0E5/QzKOlhQxC06rYaou5DabFBfama6te
ZJVfdnXJ+TnOrm06qZAvlPYCZASuTEAE2zLfN4HxYqf1jvXtlDBDX7sanJk5U45BqhPtkqGGSy1z
Imm7zG9Ls4d1oyF3e+ihdYwDZRuNjmuBs4KVZY0iwcOj3ntlVVzZtc2CyChWs8dL0VMdVWhRWKMO
YR3s6FT6oKjX1dIdGRhsIzM6qZn6gCcO8bh6GBndbIspfRZJYNIxJAHGCawrrQPHETA+fq1GIl2W
ha7uStRjfpdq+bgZYmNr2EDVjQUNVuQsqb/EcXNanPRs6NUuBcqn1Va7zoDuwWMsgByYHkveXteC
3g8Nq9ln8/DVUqo7QrWIAKen6rXQRPx5RLDDmtMfRtUqYddJ7WGsfNQt4VVzj+OGtxNeg9DpGjQN
NNk5tYfdkETDFvzDvGXpjx6CmncgvumuyKFEw2hzD/3c0FBOwnOBXZikO8Ohh6xHK1Had2ZdItEQ
iWwH6OhMZxEE+APrOysgebcwFwkBRIPWl+3G7ENtZY/TpgO7vkUuUGzLuS7XGb8IPMfsH0EVA4Un
NAT9D/GI7EpRx2i74BKP1cZw8sab8/LJGqp9Aft/sme/byFFz/YhreevapT4A1XeCjzR1z7TiVOv
3atpnoZ9qSSNVwYZzqU+gWihqk8ktqGJm0T92FvIQ6uSvglJhukXMNvVCvfCoy5F5oFuThunV1yw
eurP2Kh/dmg5JLxRYcjQJZe0BJgCP8iB4QpxXgqT4tzJRte07E1rvIxNu/n3KkD/+/fhAIbK2eCx
/7EI6OyFRPmoOOdZdmot/Sur0o0D0IflsiHb1eUCzNluAJWVOemu1SOUgjqBacUVK9XRDFrOJukl
ggJj1apvEI7Zux346+C97C26RDwCYnHOlhpSrv1e1/1NAfO3nxx6mY0Z1ETa/cOp0cz7Mu7ctDiP
OYqPGWRRzqjs13zDf3Tyu0yRP1uDBX5gF+uxnOPyHXGj/7lIavsUH1HaD+cqZDirWGIPuF6QtVuz
b8DfkBiYR4UM4gsOb2921f3ojGJVzhULlYHUNMlhuDCo6SPDvS3YlfoS+YMKR1pgF1ubOkJl5r3n
mLT5KTD5znWeGyvHrDW75vLF1LKXFGGiloXxdhkJKGk1y4+yOPXTznhTGn1jMmdYsyoh+BAuVKSa
uRemIsxM5AbMkbWvF/2dEdnLhHSll/JvINunebEHpKOzslO1MTmpEV6tZeojlBgk3kYuFictDu+D
Xsvv6tFk/9BCUE8VyBGr6nbojkg6ZYvT6FnNCTaWStWvTRVE7bQwOtCM7BioLz05VxylWBefHAVm
vj1quzkRTxnsHQaNTL4qCywrJ9VFUHpMPGaeHYLRn5R8h08LrY02HfDyvKQkfL1Bp92qCPbwbUQn
vSQQ1GjrTWy0JHbp05fcsrKzyyhHs5bpqrbb07/fc1h0/+Z+4IEk5dx0VFAV8t8/yfTxOZcF/9ad
oVS+GG6be0s1ZGdLqdsV6+lz2DJch12w1iy0nDFOJlbUE98KI74otXd62J6gz6+YmZ/M0nk0RBFt
2tysN32vomo2AXOFMW1QxE2Or5aCTC42dQ+1MpDiRqEeYSFSiaJm5F3f0h2c1loEWX4Z+3bVVVJV
gyw3X96a0npxMQqvB41g3ybXv1r6TO08M+HvNI+pWL1uQFqtmtF6ZDS/HwP9G7wPOg8jy4CbIRSd
7gI3OdpErdalcYuggDuEWd2s35oDrq4kuq1j80tuu1tr7h4d1E44C0rVt+qeWpAed9szwHbkJNdI
SOgIEJwyiH5RuCfWlWs8aYbyqEVD7dUd1NUI6NOwENKiTCVa/GarqsmegDdfLwFMRYMn0k5dO854
ZdMlIVynZZuvUJF3d8ZYnV1n2rfl/MKI7K02mpfCtnxceKeU5MZ0SK/LaDrahbUZS4HsNcZTVdjQ
iuJLWinpfnYW3FSQzbLAyysKGlDKnEt4GAfFvYx19xHbSsBQVl2LPtl0HRpy4ig9HbmopllHCyg7
yBKuEnmFPg3s9Sgr1LSnzaAhw9fGh7IE/KXAb2ZsjRx/o6fKVc4uHo0hA2XgflW7oTlSuHuyHDSN
XTMLxg04br9o8opWSp0QS6FscWxeLbgZbZcQkVELASSpLLoLzttEYxyMoRMp2w7EE2Pz+ggTiqqX
ZOfrrBorFO72QYQY/bAWMHVgMM/cWluPKsPBillryykhw3di0NGFOE1A3I1l+jY2g9E559PGQusu
doE9PFSqwjhXPVlm0/hTII5JNLaYBgKy3XSsr61JlLfNaH07DotXUTfsypkWOFzeXTNQhdglUTc2
YgyMBtpPtrafPKlSOvT5SdUjd2b6n/ZnHLR0jU4opNfTgIhivE6bk8aJ5d/XBiZtf9kpPq0MUnT0
5/eLCk4XrAxl+a7Z34aJFI5jET6OYvfvbyT9SH95J6ZsQkfHZNviRyDG2HZDnajDdF40TMVVPJF2
Huh3ZhuW+6hUuOem4YpAYxVmt6qdnJpuPnn3uIylVm7kddetpnwg5rlMhYEh0+jvycK7LlX7NqN8
49Sz7lpdyukmr6CZmnfxc5FAOo+y6kvYIxA0o6jb5mZ/ZdKcpLDwZ00d4bwF26Iz7AdXd2+rBbCU
YR56o9vHhn6FYXxvVu71mIKkYtu2lfQq1QseJlIQImc9VdpDXjVMKIL9WGmrJJucVWfmL4s6m+ts
DJ/qyW0e9DDoiD4ywp98q3/ut1BwsdF//lLljPPTwp5aoogbMqnPzvQcLa+z8xPU1c9e/4eNQ1Uy
auQwnc+xc1slGH6Nrz+5Lf79rrB+uP9yKydTGlPn2dRvYnqpfE1qNP+EwvHnSe9v35ID1ADMlQnX
9c/f0mS3I4YM/gpMv3r31o05NcnXeLJ/cjX0P9/jzARcYkts+uU0vyhNv9NuPl2OOYlRIiyVfqaM
eWNT8+6yTeApPqqK9cOqWD3srfVwfP0Sr6P7yX/J/PmVJ7rd/Qxurcs+2yc2zPf74tNj/f2Dfvog
LhnDlRuyjHQbxmtrlEC3/Ta/RBvXp8/bbLQt3/NGW5NhtIp816sGX5yLt59c27/7FJ/vTrn4fPoU
5L9ljt7wvT9Oe923VyiPb+zVNXj8yNs+mOsjqMmte4420664NXd3GCG20451b7VsQdC2Hq0zz/WU
Y78rtu01SEEYcd49MZlnQkW35t7dk3a2a77mm9t//+gylOIvX+Dnj/5DBa3obZxV/8femS23jbbb
+VZSOYcL81CVnQMCnESJpCZb0gnKliXMw4cZuPo8kFu2zLatdPZOVVLV/Z+0fzcJEsQ3ve9azwIz
ujcWtEdX9VO5Km8Uj5xgz/dCL1rmq+ysWB8fz5ftlqb94MZnJBSf4Vt3WXyWtEK++u7HP38q9efi
5+uD/H0ONU9Whygqusoy+VTh1lmE7rQhzv0GQ3JCb36B4mdRuWQ7re292KgPFNKWf77+3w4vL7PN
j3F0Mtsw1UhjXY7DXp6KpdX3uwmUb9fKxTuL0jyrnD69qE+/j9eTWceOQFB0U0p8Lcr3rn+Uh01v
fhnRdsqAFMrVn7/Vr3/q71c7PUxKuAQ1Q8TtPkTON/pXZXD5n7vAyZlPG+zUNNFq7xNjp8bUAR3L
+/MV3vlhrHkgvhloUlbauTUy0IpyX5N5V6p3ExyKP1/kvft0MovWSkqQGHkCtJnmANcUBWrs/vkS
732PkwesRY/X5jW5xX03kOK0zwCSQgX680Xeebqsk1nJ9ANppDjHajDAkHAwuKfNQdNa1xprcIHq
vqPt/+dL/vJ7GdiuFfosCJdOLglYSfPLqGn3OjameJVoIUW+9Z+v8cuf5801TgZNSqqSJEJ92Bux
Tv3+MsveqSq8d4GTKXFKskGLkQDtZSZtitGJlr5zm17Wxz8N/JPnOIxo+vgpzzFng4Vw8U5skguO
CO5Z5YbL4NAust2f79qMJ/rjXDN/6zdDB0YqYl41ZI26ozCcM6sSa79AzPlZOZ+23eI4kfvC0m0s
cT4u7EtpcdUs51X9eC+O2hmndmSGS+QlG4An6/c+3i8X8rdT4emTE1W9rPgMOuUwL+TSol6n+jZX
3EWy1r1P+eKM3M/ds/yFw1l1O+76Rf/O7DVL+P54h05+906qwYsRZLRvvM5DRjUtVEIBd6l35ezN
c23devfqyl/kVGxX1RopwrvEvvc+wotr4c2PJJGUoud92eylXbHAMYo++6uxUjxr1z4Nm3KZnVtr
aS09B/eaO6yTQ+DFT+88J79een+sEifPSdJpmQ6jYNxXq2ElFsSNzru6beLedFsUgfhgF9Me288n
Qqa9bFWurSOuLa9dhluIJg9/5Uv8tsT3cjD721D5MdxP1Yu2hDOXo3K7F0t9ba7BGA+raTWdE6m9
eIS/vUJgtS03FPXOB9e6XWL14ydq1snqOvLmTcJfm4N/2Wpztex7idf7TKP+m8Fn/zl7+o//fqAi
E/AwnZp+5ld979lbH3QFS49MeVz/Zt957dkrNmA18JcGtVrD0OeK+asSVvvAQgFaw6Bup9h0739I
mTSkTESmoaDlLAri459JmU42u1Q3UdTy/g7OEHrrygx+ezsHYhMbo96SffSICq6dKU0c3P2Ov5MG
Ie9yq+5wUspjS28oPIv88d4OYJOVVvxIKK7iSb3Rg1AgXLRbCo3il1yKcjnQoAxcldS+j0FFYKdL
3kdNmSiEaSTFkYmnBEfzZz31oycMgD621twIPaPuCjcfkHX6A7brNorFsklrdT626N2KhE+A94R5
ElyWjMAdWuhvSVSy346pKKNhrZ4lOwBykVBgNyKfmC3V+UphCQTb7POQtNhZETaAnWPEgxJWwLxb
5VBOxa6mfz9N/aWiTbQLnBkPea7j8KTqsh0ifyLiiq7TpEik4dYdKYW1Hp6XOq3lUjrGVDeuSt/e
YXyKXTMgW5EVWTnP64KYJqlPlqNJaGRFtpJHINlhaOqDlFAs6AMcN6MOc7kAgBQGEPoWKcCiEnnv
WD0nWnMdpfK1bCoZVdG0yY+SgE+k6bDqRLkKSjO8w6bqWnj9MWZlYK8J1taK8Nmqg9hVSwvlfEEr
GQqcM2rZNYlj/aq04VxYlNjxKGZrwnOdTQlqBa0n7b7JMj1VycNDh5l+E5UxDVWjXjWDVFyZaAcc
Uquxq1ABd+jolSqgpki6UCZt1ZkIKUip1W9rsuasMCFGYqQJJtMHoDWckXk1gcmiMXmPXWrurUoO
FZ+cArNb05d7Z0/0t30XA466tokUhdaefXpeiuWwl2lBxnuVRsFKS3v1czjOTIQxyf+qpP07/80S
nN/Pf5s2+1KkX5u/z4Dz615nQJIjZ06RZmo8vvS22WO8zoAE/jABKrgE5Fdv46vtEUPkPP/Ne+a/
kn1exZw6NkpZUTFI8a7f6Ef/wAvw82NiwB6d1UozoNWZMd6nUWRNO/YQ84z+SB+cIROPV0X9zpP4
LX7yzYINCVMm/gHjAg05k5iuk70tebRaHCd1edR6Qhpnc8+cpBJqaq4dQ7kSSBcLc0gupyIyAbGH
oXWHuFFNLlFUj24ItFg9U83SrYdiK+gJRNggTS2i387U1k4aOuz06BsSUcjSdqydjSSK60aGrT+G
TC7CuhqieuOPArE69fA8op1i6OJMKvuDZCdf0jH5LOEOastyG6fxHQRFTPtReAiaemmrULND+trK
UD1XrbUuaWh7KWLLdST01pUIiKPs2W9Eh5O8teJby94IrXb5eneBKW9lh8GuKSW6/fwprZ0Q3B4Y
/zF78pEWUY/HGVbITIeirlZl2p6TANt7dj4j1wi4XZSW/GVWnmg62ilFz286BfOoqt5WA8JENWo+
JRnHt3DsH2tTPxv1Kl+JuLzIw6FHQ2JpHmuB4fpFdV1FxK9betEsg1G7yAJgoE2tXaY9Xrepa++k
WFtN6MuXNFYJ21Gb59gix8OO0Olbojjmhb6z+kpflgQMLdJEEFwi0zuEEBK4Q4xTKypVuH0dUSh6
OX1SsgJGEnikopWujJ6w8kxNb/rMIdPXTu4lUZEX35dbh8zlfdr0igto8qyW6JLIikDOYQfnQfPI
2WuFUc6Nsl519UHAYUjzT/4E494XNliZQDmr7LbyGvyVKHUeKbFzGhirXWvpj3adhZ4dR892ZkHy
0O2J5pVzA0X0WY96F3HUUyRAASk1/RS1CqEo2G6Ba6RT6y9KHMtuNQswtCTf0sSF+9M1q8ieEaQa
MYF63eAOlWT0Gnl7bB3ptgswYUopRG8trGZC1TWuAeEVVHTc3AeQqNN8AV3Mqsfv59jxtap1LtBB
nLVO9ymR8eVHo/kcx86DoSQvVhttpWHcQMoQJhf4uSo3iKPSZV65DUZxnetGeRYmSPVSy/LCIux5
WIeHLia+qexFu7R77odlTfeJ6RNyifS4i/MnXSGrqKvk2yRIoREQgzVIdgQ8sYFSIz03kn0v2SPe
MUzCHBXpbmGicKalNZmFumw0HLblSzwiOdPIbEruhkPOqrgxgp7uqUlzsXTS5DaRNWdrTODbTa2/
EUJFPls+ZSBko6RMF2lRfsWNNC/KUbBsG5g5Sd/sWiwtn3S98VIT/3VtfpyzpzBNjPF5VuC0lqSr
qo2dWSSN2M3zs6rwOvpsksUOqnLKwq1T9G+AW4iOKYmexA1dGxkyco5LFkntjM2FFlI1Kqy70Dae
COQQC6Y1gf5BITWldLtw3KHE/8whbEcWyRn9k/ug1eN5zrmqcmUZl8pVoWhbDKlX42h5phR8VBPU
c7YBv00mx4iMdss+jsSoT3WzIvHH9Z3xK0gGNDxW7CUoLpfE57iJUBdWXWHVgOVTld3esoplJRL6
5QBkYaH1+FBp5ca2BJFJOoxN9TGLCB/z1ZqklXCliuGTVD8ZLU9iZ1orTY+tDIdITw/f8Xv093E7
StJSxs/z0Qq6YS1EpbpxMKiuYZdNuU807S4rdOka6/fS6vJAdtOYeWuRFHqJEdOYtHUDDt21ia8H
lZt9TNBUVE1/1/fpx1pI96BitUu5NaYjC55YVan4LFRlG1ba18G3D4LAeCd1MJlksGoMpKFeJDrO
zHFKSs2UOTd6Zo8XQRZeR0HwJVYrye0T5HIVOAh08g2pmDk0Kb0J73OVX7EPb6gLx56jSWdtV9+1
SjEBE9KylT8nnRIvRXMzYu1xnYQ5oJVSwsfacjpI2JRvzBgw0zhi4w2qAlhGpddYpurW0xsr2zCa
bU+kjaebHdIqpenX8GfIRMNMjOuSoKIuLUk2auByAdoxNn3qKBtk+Ecjaa7YHs8IinXczdp6yX+M
MJzDSFVucAncVcpwHRiVuXX09m62F8/2Kf+daI65PHKy6BL+as8r7ozhn/0lb082ZtqW5DuL9ljY
PdCZQ2zfmHxqA6MDncE3+57jt3d9q03+eRfBNmU2qZiKhvwJz4pinVQIavLoG7Wv+6PtL/3koxiR
0LzTAHjvEvPfv6mD9KlI075N+2PJwBwhW4fdg15e/x98DwePjMXeSlFfxFdvLlKHSTLEed8ftepG
UD2Q9lK3/fMl/v6zcKveXOKkztvAaQoQIPdH4rUysZqyBpviIbc+x+M7Vzop7337Ud5caf4kb75M
GnZGZjZ8GUHdSskB0qlnbQYeBcf62UQh6c9fbP7gPz9vig2/w9A1WdMcNKE/Xw77JTriRukxb9wp
s0rAvAnC3ZjdvVzm37OGwaD5/VnjI0WW9lcGifllr0cNKiqmpqpIEWXlL1T961ED74RhESyqGbjA
5J+KLTpcVAWhHK4K7BAviaQ/DBKIZkl7wjeBPGr+q//EUeMF1qLQhEYGYcxmxJ8fkEGWgq6q8nY/
jYkrKmRTJFISUfPOc8hg/elJnFvRnDMwpimzyJB4hZOpQkmRW5ixXu5Zipxb7AVwEzIwH9PGtm2j
crUmb/VtXfvTdayiNaFzrn+KbSu4L4vYPoPP4ewUK8PWbFXGcAxHDQB30RWeOQagI+Cv1dpDNwjT
Pva+6Do0PAiUmOkjtkpSemBDUivshEt2SUWftgiqpAC1elT7+V2UjM7SsKcKq1f+aKR6v7f0Mj3o
rUwUu1ImKWodHxdbisdWSmfrhRX1hXaQu9mS0aXxoZpdGhk2NDd0jnDkngx8HLkIVj6+DgsPRI7P
w5gNH6rMtwD0snR0f+VkS2PItv44ClT2uG5rLCNsd55DwA4TVhIFS0mrddfprIdiTxffY5uqvbmZ
fgGzsdqL2jDP0si5KCHOEZSl0h2QJO1ZJ+50o/uhvCeVjZJ0R4J4BEAPbIF9AcBlT1pe702q3XlB
NKnrJrduR0W6Q7vCvjgOEVE2TaBai1ZDzRJQyVmqtgzKRp/folFXSmJWt+zCoaSZdh5e1UEn4WtR
qqUzyMOdntIXplaIWqtOOAboUjV6MVpMYTb2WSgpyjtrqzovaD8mu5dHjJAGmXwHMk6w5JyWDcdK
BMFgV/t6mX3ucd1dT9fWQqJxg+N6Q6hB6AVLTBPLakn/5Az8+1Ld+O57SWkv6SA/PseL6tgiyQCY
Hdk++PlPVhPKfn0b1GGx99XgjBrf4CYo3tn060h+rcRZis4nFF014Sf6tnwRWJV/pvAbmYnI3NFi
Q+bLIye96YF0dGdVk6yIUq5ckav5YBlogWMfNIs/DZ9ECgNOrcixtOpY8wbUhwslxDBj4I8G9bEm
xsSNKRUK3fbnNMPNpAH9UNU1cmBlIRowQJEDJijLIR3qXgEvgHNvuexJMlB9XMxJHileV0aLLMPw
xyDe94OjrUWAcg790G1AEK2iZRftYMsLyS7XcsKDZjkCyaocv7MV+HkS+UtvIFOEpmxB7eY0csqZ
1N4pQR7u5S6L10wEHLUrXJwwn5aQNfH3iPcE0r/ueL255smvKQ2dVXVJUBOgqVEkrCgZBoU31dZG
zwiHElBtAxOjiSXQAabAzAw9H88nLAMLWzLOCXy8kyMqFV0tPYMeWpVCoLk1L2V/ejQC8QCyGOFm
LspvncR/12Sdcf37NfmbddFNf21c5KWv67KqfKAEC3kcYDg9kLnT8bouqyp/ReeBJgfrLxFQP5og
dE5sUtUo8X0jpvGEvq7L5gdIuJqK3ZG6Iu0V+5+sy78wFtoyJBAZW7lhcLXTIqClBEqaVkZBDCJV
furgBET0JAcOkL4W6hAoSI2TVaoRX5vBjiXxObzPHGu2dZP52qyLFNJQK7axIWF39pcyHhTOjlZx
TjBpcYij6uMo63e2A5TUrkfmG6lZdmNyY1b+IZYbNOVJgAq7iK3LIdCmgMDR2aWbUtYuPDDN8lKB
kzDNwARnRieExFG7iUGuQC43oRtBWJhm1IISwIWGvTD5QKudGcdAQEbmSRAahhnVMI5AjUy4Ql44
gxy6Tr7lZOdZ8bjsZ9RD4+hohF/wD3AgzBkIUc5oCDFDIqAIFQv5BRyRx49O5NjLcYZKtBkJmCmc
CSjX/jad0RNULJcFbu41pNJ0ZxhSf+5HIZEGTH4gJuLbSGT0ldIGGRoWwQJ40UyzQGQOOdZsb6pI
YM9JxK1pBYdSKD2Szf5cHyKx0oTfLohVbb1c4iTU6zJJsySTLxLRXhB/TnjhWKQrnFdrTMxnRq5+
zOLuyoF3hJKWfKwJQb+lCYwGSfS1U7SLIJ/2k0q8McUyDYJQdZc2kuu3BXFBUXnehiS9YBVwXPYB
rjQNjVvMmJO6iDUKfywFqWpu48a8THyibzWOgZ46BUvBYX7VS8WjUEn/UOV6r2pUyoS0LuTsPMui
g5K2O03DfEh7eSc6nhm/rY8iIrLBTrg1lCrapT57NPPAJdGGioV2YRlhsmrw77sC4OMmUZCKl9K6
iqVjMhT1xQSMhRCjqHIJdblSTfXCweyxrEZkNXpGRLiakNeqkZaxSHXKu3EiW4u09wmHrm8GZwhX
lMYuAt1/GAWByqlkk1GvmZ7RyB91IR5ijaxkJcXILhoTw0BwGfTKuTLgKwgGdkjO18rsS7JKa+5h
bW4DESkc/I3zpq0PERp+6bIorHR6GoeU+Gfw5E5SfgT4JgDoEVAcTfpFjonlLG6c+yKRrxqj+mqX
o1sJ+k1TsArgnpV1D7RHWlWyuivScB8VxdkQ13sygY9djvUPZ0MLYKrtt6ZvPE+m1JIZ3Wv6OmrR
gUPh6qZr1ZwuAlHVa4WC9iqIDIA3msl1sb+n1bq3pnp2ZUJV046VcV/DSMMz6NzmjrLAQ7arVDYV
WWNs+1BbBOV0bCf2OF0EZcRoL5nsKF83HodstqARPTBf+Eetbs7p+pIWYje7oo2uLMVy/TG4nko6
mGbVQjkYoDaoVcNAgYywdgKFDQy51isN3RC9tGAjMBEvVDW0SV0G2Sa1PDl5CYQmp22yoJB0tAfp
ztLz56KSv2a2mrj0Mj9OOXYYJZlRYwBbDY16q1z5Foje8guuMLCpSXgRDTbThCwfswJkbQsl+wC6
60mbKIrLU//U1nhBMnO4gleITzjvHrC9roQu342RdWGnYoXFBLvbwHix9VoHGBZ8ygcakEmf03oc
11DGPbmsjk4E8MeMV1Ndgm4V/j62sPFEZrIp8tE5syTj1m59jyvjUnT0G0U2VKyLbMgnoZTLcoiH
pZDUi4FhcLQK58oY682Q6pGbp6jmrVRdqCXJJVSe1IVhNRiiKds1Sa27TiQ+h4JuRTNyUDfTdEkA
1XPgPEbglepGu0q4J6wDhBUEsISa1D5m7MJlsOJMYXNZ18dU2k195BKOsg4FpuUoTqGNN9LXiLez
7QTf6xwWbQT7kEPWAudqt9MlJV/yg44bA+/PkKM3z0gQIGFA8Vo73zgDTsrWroLtAHvXl7zE1nYh
uM45d+BBrqdoy3RMdoNuLAKisaVQXKuRvzankYp4aLZAd7D2OkH9iKuRuhwOj8ogmKFjI8Rps+Kp
KUm1Hs51uY5dSRPrloaIkZT7viActVR6Wj7DlTwWS1yD48owrV0h6Cfh7ccfPLarvlWfEoeURkA7
lwQ/xMsppQH1b43jBQUxNz9/v5/a5uMvYvrm17xupBTjg4kwxCEC75Xl8LqRovbBFgYAgY3URJkJ
ad/VJGyk4K2pljmLPRwKAz82UsYHXJs4w9CRENX3j8E4PyulDIqGAG7nz8DxFFmJdlJy07BbYJG2
GtSbZrgqijTyhiKj43Q5qszudC2c0J/MpR52coj6soNVZaDBU4gbUsccQ8YYsWEQdiTGA6YhHI4L
u+2NCif0gEeLInwaamvFogcE7Jxzbw3r3487lT2OU+QPU2W2+tFqW6fKPUsuO303GEZf4znDi1R/
tqammiZipHwLBuswVJ2DJYuojXVcl85FKOQQd38FabPv9VtRsJvAE0fYWZFgC01iGpCi73akoo4r
glwwhaRJe6WYSf9Fzg2jJE0vDL50ejWs0pplnumsoOFVMLtJhr4iWS3coOxh82P32ghbTvW3IOP7
iyS3+r0Sd/M0VT4XPXE0KDLU6rMdwYRJG1jlbgjxfhsacXOj9pxeuYPGoz2lzroL054+YQD3cYrW
KbS3KxCgKQzQQOB9lzlt2gq4G6NpiAoxZZRshA6ukhZmml4qZbmoa9L2aNJqX/iZmg0nLaKelBIh
h+OE6gOwuekYThPMuERt1S9AHI1dK+pgO1IMukMhomGwVkkewHrgTXbWHto2eeSW5luBQONaqSM5
dWNZti/0nlgG7PzhHp9q4AWjEe2NqK7XjpNWy3hy7P2ESQ9GRE7fYsyQf0LZeQRpnp6TvlV/bLOi
XdVOnJPrGKlgNxSgrWZYJ6vRAcypUJi6pG0orehq1kct0koPkVGxI6iA/UWdnMH7n5YYt+2VMMbh
udfDdGOXWXA2cK7ls8WWdBH5pnyWRXVauCyyrAFNC2RgtOHxBSSh6MQaLgajYvmYSHo9SyvJ/Ejz
8xOxjuq5yuH8wMf3V1KS6Rd1obKtrSr5ME7hcJbafbwNIlyC7HtjmnLleBVWdu91dS+WY9QOy6Cb
/FUt6jrw/p1Zv82saCp+P7PunqpfIMcUXvN9ZrU+mNQ5sTSB4f42fb7OrHC7IaUq+oy3oRRiMR+/
6vSYPl+kI2i76f9Y88Hx9YiqM7M6CuFdhoHxCLjOPzmivqj4f9S55nobXSwFnQq4HqrHpypYSykD
WQknXLy1ReQkUYWEI0IdQU+mO2ursz/DV+xXYia7KhzydOksq+125mlHanwfqaTAHEK/4JAKYwox
FrBmTpVEJ7bWsaQh3x8R2e5LLYluiG0gfS5k40X+3QT2Ow3jBy01mMTzkXh7TLHKMqBrB4CDDXfk
qfoUrpqXp1XM1u6t7ksZSYhKY6X1PVCcmMbtQMweCRBaa4KkRe/HTuUsy/qpuA6oh0toSfyYpnoR
AE3WAohkFlETQ8cZoyr6eC0l0K77mfjaJaay7AcxUf4yq49TF7YKsInRnJZa3WIWHlUHKnHakkFx
UVq+BC9LLyUic8rJvGhHqoVeSVXoOjLNGf9nlWRSgHRbK2WYNNdI28n7NOeS9ICCUV0Liz+PQV3c
Tf1MIy/JQoxRG4aFtSUfS5OX/w7RlyGqUc77/RClmPTfVghqH6P68Re7oPnFr2N1rhlRTbJ1VFVz
JPHbcpL2gX4IxZxZIYvblCbc61i1PmDiRDRG2eP1Va9jlbHPtmX2xxOcR+Pzn4UVn5bGubyOeI3/
8aaI1H5u8xgpi1zsV9Nhaj4JKsHt1LzT4Znf4cdkQLeZd5WZWUxddVQuMRfn3zQ2p9I3y6HUlEM9
SGClVkYaAR//Spv+zQ/wi672/D5/us5JH6mQlFJUkUEgACc0pTrvra9/vsBLP/lPVzjZLwYA3VU4
E8pBHaxFp99a8Lyl0XUkckS6JbJqt+7uy3bTRsem8BdK9BSHqyA4qsVlk18HfQm3Z2cSM2xDaQr0
yza+7jl9Dk72zq2YN91/vBc8WG/vuRZJftNX873Qlv5EmHD5qSUzFrTGoZ8rSxSEovHZIpJM8K+k
y3w7Ev1W9G/NFzi9VcRFGWge6eghaf35A+R0zZtOtsYD4jzM7woAxvNEVzV4WIjRShdhYd5uY3Jx
q6FeGG1/paS9CZicQKBOlibQCSSvqWUrd0RyzdAf+q3rNLtTM+2MUNMaLq8UK7eDRrlfSxwIVL4N
FyWOlxUcnZL4BLUTK6UZva4Z1+F06MxomQW4DIREDu+0rgbnmKlHf4pXfntX+ymdrJs6mDtgKRBH
0mMQ3qrkJVGFdS1IGCOZNolxU1Cm90zQ3pMga46gmlZpzy2ZFhzWf3FX02IZJY0deQ6SSL8EvxsP
2bojzvqW48Ci1AAxFM5No5seJOFFPHPAjSjQPT0StifbYMqLJL1HVk1jBQmyAwPGI/D1HY/Uiz//
xy/EGv3zwD9tu7KthdY41NNBXmsbfzudN5+0tb2tDpwwztlTu0QHeY4LOw5P0xnQXW+4l7YU89by
2ryIVvE77I+TDs7fpgl2O28fWR1Yo5XNj2yRbGGogWCrcDethPzOdPSrJ/PtdHQy4RFnOaVhyHWQ
N6Y3w1cRuFHrknxh+u8MgllG/MdBcNJ2RNSWVpoTqYdQc2PqnV47UEBe9JQxKc8e+ve+2q9mQNoL
KDpmjTAW759vIRb1wbJSTaWlTat3+tJJxz/PgPMb/Hhmvk3lby9wcu9IjLLyLlDVQ915LSCWXkLk
+26X9J2LnMyyzuBQIIKgfXC63STOGvNGNR/+/D1+tSS9/R4n0+PIWo2ZwFAPM79lSEkiMSm57x1c
2y8X+q9utV1E4GLq4rn5H/M7PxYkMkVB2PzPn/9Yf/tz8FTM3p6f/rB8CfK5bCHWXj3VbcpLv83V
83/5v/uXfzmDbsYSt9Dnr1mUe1HdVNFjw/LydBIVpPDw/X57tIvyoP71i163RUhcEMUbHFUUU/3b
EQYigWyiTmNbMi/Dr7sikyYb/9BEJzb95Zjy/QQz14bYRFkqpOV5x/SPnEYv3KkfT/p8goEySpgx
whfsS7J+MhspvtaMSWkZ+3CStOqW2NyUXlA+ZooXhlJrLWxYv9FFbSfaXYkaHrZxn17KkuY6ZHJm
ZAkOTeQ2WJWgRtlmLbZZUWFJtDptZkTRkl+iaDmjWN2HqFiLKbksCAYuAe2TmP4w0N9CxKvtRzMX
nj6nCVPSJtlVhF8gypAyI5M5jD8gpPotuQNxxMjWEzdTk5Fwnvo6VPw7yhmEFxdyTC5j+hJqnKQF
LMI56bgD3k/qcci7mm7Rwki/0KXR3IxhvIngGxJon/ZLucnZLORd+QWM1kPQ0StrzMxH95KvIN33
bpHFGxFLmyiijTNU+RdZwxqTUo2FN5XdRoH0qF6U+XhR6Ik3aBa3J50Q1ab+jSLsywyWkTN263i6
VBrztu/qT5AUlzoJms635eW/eiSun4rZLVf/PPL+Xx6I83769wPxOnqqfqVDm1/1OhLnpC/OEsC4
kJ8anCne9LuVDxw0VJ40xWD7/tb053ywLKhtdMI5OODJ4w1fDyjwyx30Z8hYEdvoc5f8dTo6fhtj
zGS/3UoCBP5pQWAswuhlprDouSMQ45Ty87JGHnMWqkUkHygm8zhm05zK+FAEX2UH4Qrb2crMzyMb
AVbUO+p5X/L/V6p1MJX80GI845G6Stv2oa4nl+iiYV0n4V1eGWtB/0TLbfRRPL21dQ9aHSzonHJr
JTCuKV3QhYD3GbS35ZDfsGUVi9ahMigEbWiY1Pd+HHnMUzuDmJlMEZ+nEO1mPN2puiTcbGjOQoMW
yhBbbjJFm7rF0hLn050SWJsey5kLcOs4WOF9nOW3k12cO7G4Q/WXLRJDfZb6/BPCu4+JkgFUbRGa
O9JqsqYjQnLEV6Jcl07cur1D7m7UmAvNx8dh+f22IY6BHCl7ERAjZQkaj3VnL8bM/ih6lbTeZgSN
3iZkDfv6LpYpGsa9tDF7ZDIKkJ5NK43rQoeEonRYH82rvmyvxiarblNj/JyWdKJMYZ8FofxJzoyd
LZPSWcrDRZCUBiZBiMBGnG8aqscoYtqdrtdb0wH7IXzjbFS+1qQJBX57O6IUwE6Ikmiye/i9MOZS
OsapRWSoxREOeeQtYR8Y3GW9cyUkcU2NGXLsO3MpD+Mmrsc1rLJl2UXnbc09C4JU9/oxiM1qkcRN
V+2bocEm6kOYXzcGHdNdU0Qw1vRSbraFzUzTWGQ+KmS3xtDE5QosaTRnl9UvOWZpJ3o65YbaeOZL
0tlAF5FgVbWARJjqdMJopbml7lxkrRBLxAOP+Zyehn5B9bD/cHyYs9XApXn9VD8C2KWXl4hnTk0s
ClBu4VlNC2vOaAsM6JdTOe4szdpLoWq7jVryHjKZ8lJ4lw76fW6T+dYN3XU5p8A5cx6cLoyv5K0+
q+PwRKdgXHRExwWmzqNAmBwEK2QGtbqr5py5uCdxTje646DOGXROstHD6t5OjGalEZ+8NAisG5vZ
v6SbYPit/mttq/0iTwm6HrOG3OWIzDt5Tr9LA2kf3KedlxOLlw/xV52kPIPEPJXGPz6BnZnn67go
L4n6CJchGXuljkXIJHUvJX3P0h2agrL5yS+zlHhWf2Er/Sciey8xirkA5+vzvr6nPVGTnyEVOESs
KfJ4q2EhE24jkahJ5m+6kKSQVkM1dIu25xePQzJcxyLYJmG4m8x8P1Xl2ZCXz6ajV26qd5QexJhU
j/9Xdnj//60rM/Li9+vK+efk6Rf7O17zfVVRP/B8MmUSBkkFeMYCfC9Rax/o+LFR05jMTf6LHxs8
dM821QImfP5Sftn7va4qqKXp/VFPJohJIxrtH60q2glOYz7/vpS8WDOIkZIBzv+8qjiaSjFU5MYh
6dJgRw6M8K+HIcmBEalRsu511DWjpQcueDd0sGm61StsZzPneJP4OOWyUUWe38sOhu7Ulldz1hjc
awP3IPnGtoGNsEdLtUhgdktObFxY82Q2pDL4yICOeJOsnMl+MmIwi93YE+Pi6xNZDmGwy4d+F+fp
SrI7wN9q3F41Xb1Vu8F8SAcnX9RxCBmcPOFULtBtluteDa6EgspIJobSq1W8XXlWbZpJ2Tu182T5
JNlp9gH08Rb3yXUEBlgq6jspsMtd7hc7ETrbKtSjLWR39EQBEujwOlON2yCyiQay2WfqiVbSGAvu
aUxtNbtcxrJ/Twz657kiRlINOtak6fp1HUZ8Zt2a56DOrSpkqMgddmIWcCSVSvZFuhdE/yLkCC5E
pn+uwubQTPlzM3P0nKZwp6JnYfDLs8xKLDcrmo3hUBnBFsGugygMlCHLRMW4SVHR06zxbPKlO7sK
L8de9wkbirdtgGhIWPX0v9g7j+zIjbXbTuVNALUCPtB8CaTPpDciO1gki4T3HqP/N1iqK8pc3aW+
OlKDRZvIiM+csw/VJeW1XCLqVR/mIpJUlpFPCYsBVm7gYfV63gQTMW5BGb41GSTOiTQ+L1enrQUx
FlaNvkWScpGXnOlDmwLUquuH0g+NtV5/dNYkdlZiOaQcVmTsmkiMbPVDGRuudse5rNKOMM0IN1dv
V3eylspJAfyZmPV1GjQ7p68R90ARiNvSds2ABK5RBNPzlM8HGRjfbRaVCwobxkExPxmcZ2ZgPI9i
vq4wRPW1+jSUxLbXLQ76zECIPiAhLjGRZ/a0S5qRMshQIQV1w/soEWZBNQ/csAw2sda9ETLFCtXU
N3afvE0UcaQi1iS9a5HVvPZYR06sonE8ZkuqRotNOPWGJWuD39/aEdAMWd83I8I4elJlIKZJW6lX
GaeBJzQb81+F6I9rmL/4TAAIKYWtR9xjtHEUokCJ2gQ1TnsS7qZeXM68Ga4nGdvbRJHDdcm+dkUL
dND1WHeJ917p1XJvR6VyGQeBvrJHUax1nrYVY0Kwtok6ERKiR+MeJ6S5go0dHaQcZ1ZN5rAmZr3F
WjyQwYf6H1j3mxTBZdUHGLk09ax3SLVsx7kmJyfwmjS+qCxUzZr6yEZ/uq1VJXkiM4uBY5WxoFVH
T/Xrci1bHsja0hMSrQHBGS0NUI5oUWc/v0LByXOjETJg54KScIBwnBnGegygxdnKdE60fp04eDi7
qg4hiWNu1KLmte6UraqT7tTr9T630FeRS3BQKMIPapBK6OlIhAgcr581VmkrM6f+6YLeWjE8ZPoZ
2qTRo4DcQEzO3LmdAbWq2i9xluEnaPi3Qz3IbT4j3koSUL9F1iLXU2LBmqoqwMcvr69vASo2/GPl
hNt0GC4i3lHuMHcHssKuw4HfWiggbYLiqE4gWTNAiIVDSnU812y3HUiToY1kT3a8QrC3SjbdbRxO
mywH62dGgNBj23ELSeUYdEzDSrGNzORJ9PW2U5rbOen7FfpWzN8Dcnw1OTddHWwmdJtuZNdbvyx3
Vtd8BLq/MDiKziuVlDcs3ksN5n92lzVxenLC/irnL7oqjMhZZwViooD0ONQIj7TUm8EoyfmV72Oh
oY4rsgMeDfbY6rhljXH7b4XwY0P2txXCsiHzovfgr7ZjX8oE1fqG1prrHOgAq7Blk/GzTFBtEqNN
pNPc9RD2Fk7NzzmQ/o0LnHPEtpHwIOP50nxq30zd4DljcmN/ioT+SfOJIfIPzSfxNUxUPzNngHvb
Yvn4l+1VFMdhE6atfsbNwRMIYb8FSNxZZoLeIhtKtNf9jA9gZYhSGz0gtfNtV8CHDNEv6l1svyRh
jocJRphAjmqnqno1qA2wg7ifymrV9LlzyR03HwK9S6N91U7anU4KkrlXG1ErK8dRiHH3df+QTJaA
zUo0o3ob2U5qwHyd0+bNyQNrONc6AuLrpaTurTx993tc1kUedanbGbKLtyKW6sZBq9TftNXU7g3o
/yBr5zCZ15hKuufZsDv6xyoUR21B6tRVxc2T5wM1/OiwD6jqdt2JKTqa7WScfH8u8aY6vvPSNTlq
aaPyB05cw5pdmCXdVaiZL9OUP9tJ8BZbRram8KdRtMz3ss3e6QjVlvDDyviOV9uVS+JWFQz7fBbm
pk2U7nmwAouwMREhW0w61SXBl9jcqJWPKsQBdLiD/zZGVr9r9ByhEWb7k5JoGRrj2r6wq27cz2VZ
bel5CrfuWWtmCR4szNNIleqOYqL3CbZoSg/XkdsMje/JNjvKzqEs8Gv7PJnmvE8MSDwRiPCVwXFo
IwRf1QFdks5t5RYwAImaSrxSOu/SCJWt7OddqjqXOtig7eQPQCChHK4CH3JCY2B9Cg0faekMGd7i
+FWdcdW1RGhwF2PoRqstQkxBTmqOHkpIcx0rpXYpgiS5BV2k3+SWlb/HwmAfU0X5I3blGqBN9T1n
y/avSeRHXOzyDv/vfc1yaq2Q37zU36P8r44uPvtnh6Ma35ia4fpg16IvcsTfHV1SaNIyBAFY2JMZ
H/88ukxy/7B8Qt21F3nOVxGO/k3aSHPg8v46+v5HR5e2rJe+zrCxmgimc1B+8b6xFVo+/uXockZT
QRKnhxdKIjXP7PEuy3nS91Y/Vc99rU9Qy/F5IeTGoG3jF5jhmPtD1cT3U5zEpCXDnrggSc3wMCEF
o2AsIPrrcZBA4DtgYcA3ApQtHSSKtI9xmlQAwjD96Z9jm8RWq3lP61UHzbblkg5vZdsuJVuLuzJX
MHWvOMDiu6xI+3sDR7KGiUJMzK4lQT4aJ++mLDEuFlC1GEwzQkjR/zzkaq90bGPb/qHMYNJTxJYz
mIGc7Co0xFXu0qnIKz3pyyc9q+InxSzNHYc7ikO1T/1L7LiBXKUwRqA8VLJzM1bktDwRG0Cn0Pag
FDKXQOjuLBQ7u7CtvL/JENesa9JXDIqQvGdEBqOlSyv5rJFxOrsOHgeEy3VnYaWWEfj9GGDjjYJS
e6YQy6JdWtvzW6YpuhcGxtTk7iQqk3SJzjHj0l8Zekfcnez1dmvWvCCNF41K/9RGRPWhPGUoZcRq
hwo1/qFJnX8oVKdBn2dn5wSSfzaVdbC1MehcN3WPCMrJm2sHCdYmTtGSrVIwB3dcWReO3pTDVfGp
psqx+Yp10CxDvOBTcRV+qq+AyMRPCTgzXBZdSp1mdQkNbS6idCf0vMU+KUs/3leEko50apExvFuD
DN4dIle2Xav7mzQKi8VEiEm0URqQFEptoxGPml/oGMv6slLIdrF+6k3+nfRrHDD//eS6eClf/jyR
WT7n53mFEEngjV48sEu6KCy+/5RafIixIAcWwxD7c2L/n/NKfuMYowKymcdg0V70hL9NZNgKLDF9
+q/V2z85r5j8/OG84kRc9gWE8QC3AsFFlfj1vKqrJuOy1ubLsmwympEWUCgmD5I6p3s1rrb+Eiw8
qJXnl92r6PznyEI7gVwYHp6felWi3DtEXQChOpszBZbZZssaq12JILq0onQz+fIKvhsQOLXT1tUg
tsnonAcdL2ZWbGXg7LpYw+FGZKa0WFPVATMcsoJJ5kDD2+rqu2LlR7Zu6Kx7IzjbVrL4tSH9yMpc
T1prripcZOQw7AWgQReixwNDiqtGSy9Np41WXZ0TWqD36UNiTSRy4W6ZTOcaew7qoMTNAYx5kxmT
rZcWREe1xvtQBDGov64kl5HvM5n9dlbqwCVX1CX4eZcpidgEo1p77OvCdQujrsUGUh46qoa1Vg4Y
3jTb8bDVu1FqUgCmrwGxZMt2c1X2zZb+MwLKbcTbkV3gxhYI4YdkV+c5zWpL/gwRHLWRqnttKo66
SKODqpgHH8+LK2tBCk9in4akKFxnsG4rNbI2k6xbV8l7fgunNi5BSu/zoSMsYXasldmY6R5BHKkR
uquT/EeIof+M7OYuVqS5jxR9Z0z+O5Iy4FPGSNFnZV5jkhylFUxxFMPYFSGhSFWSibtJIoe3R3Of
5fnoGUF5Qyz3bsSM4IZmoroBx7tb4OPfW0NPZJngBCMbYBPlTbfGnjgxpEjpooPkrVZzhjSVSoyz
Mms3TkXOx2wm69CU0ZY4odBTWpX0lM9xX7pM/mAz5XtrmQYGkmyGATLZvmRUOC4zw36ZHlqaHW/b
wkyrXU12hH8rB0nkqhV+D5SCAYKfOIe5xPiipvW+roK7RjDHFq22M5SydbPWWuMLM9c9zCzZ58Ux
l/UZ6ftHMWKDMeaB/Pb+l7Jh+mLN0UOn4RKMGLm6vV/+0jdSrJmAnbp8xL4nDLeW8fXcyh4COwOd
wTzns+QtoTy0g0rmyjDvuML5qQPjEh7jtqNdMCMk9OQRFCAsm21sayd4j7gqnfYZWd9lL5J7LHgV
Pgd/H2iVue1ZE3HzVdG6jgkei8L8xRHJOQzYUadBuKabO+eps2uXonywsR/50T0aOrojhXyBWBPf
9ah86BPpKUE6rWpkxi99ba6x9DwxYwlXQ4tCi5BfV52s5Bpo1XNbopMnEQQD3HEyS1I7jCPcAgru
wrwci0I7k+7CpLRK16VtHfWRQMWaWA1FC29I9ltskxPjlLtEWRuTPJYRM6oeAY0f4krMS+Uu6m0V
J1Z6LUmocdn+PJVKexNbne/mCkYD0y9cS29Z9JBsE8VrRbF2cwMmiDqnckXdOG4NATQNnTNjpj3z
tsuIVrIzeNXB8Bx7mwlbks3PjgWrjD2bS2QttUG8ShXApDjrT90w750yesWdJ1a+qnoyG5xVGcW3
bWq+OjVghm7Eg5FX9kOgYMZTM583MYk8MLNaYu85Cxmcpuw+c23KfvAV/r1xkdb+zY17emma978S
6n+5c1G5LAMKphefm/BF4ftzvIHNHFM4Y41f5b9crL/2CIb6jaUJzhYTSATsrWUj//POZe2OlJav
yCoELcw/85J/9ii/6xFMGDOawX8BryDN/czj+tIj9J0zKuhXhksKycZeh73PKrRbtqLBBDoh1fxj
Oydku05x3ycPaqcSJcY4J2r35QwPdey5KE8NWK55HY9aO68JDMwp+4Zct8y30RogE6Zl7c/rNqgZ
4mJX2o2WGjgfjsjU9nZqGjiKbWTTGPsTtayXlsWyz6OhRwtfWYE2k0OaDJgZZ/SrlNcd990604J6
XmPFz4hikZ+mmUTddiKRclv3gWHep6oSWhubQSp+AkaquWW0u1Lpp92oT138Mehy3AQx1qN1EMQ0
R8tMace6MjgovkxfI+LCoakAi1tN5dSvlRSjVZ9FbCBCqhKRKXD58Hq99kv+1jxn+rZFXhAyfg6M
rTmFH9agYHDN5Qe7HGPVZnBa7JKPQdYlqLRH0DraxXAMg7KhqmBsHERs+tOWjCocOohpbHIeNLVN
ai/TIBvXQhGIhzD2gkEWO1kbzCb8IX9R5eIpmovgUNZKemUs+OB0VJ2tLPP3xCb9U091oozC3tg2
RRutRZNbLKbwQxpml14lAgZi5ZCPVhI+mFXVsJZKwY5K6u9hoxQ71EI8Fn2qr5DQVuu6CGw0c8or
tU+ws+a0Q+FbyG0I09geSCkqNZZANk72xhsA9PA7afa2KLLm4Jgi9jQljHHfIkwOCqs4JISYRV0s
PLaCXMf2MF07jm9uB6fI1k0XkmwyZAkLFwMIcUcrlM81P6bUf0nzRGOwG4MgqIET+4NNBiXsoBWX
AloNKG7Ypa3qGuwi0fDB0F7bEbO6eVIrkKETSETcTtjvhTOuwTkPy5AGILRqdyQNN9XaH/Nkx/UM
Hs6Pf1Vp/3tsqkg2/3ujciqa//f/IZGn782f+5XlU3/2K8x/CbbBncApaaPB40M/z07sowCwFpwP
sBfcFb+dnbrxDUYuFD3oZux2lzXxf85O7dP/xLFqYq1gNvyPjBNLN/J1uoJdA54vox3bJqbQFn/o
VgBQsVDJUY122Xo2bcqFrVE9fvnD/KqF+grqg/D3F9+F7goQMfor1jz8Db72RJXP4tmczfiiLeIo
9QrmpOEKgAQEbV1L1rHe1Dj+NPVkLxzvbiF6p7N/7Fmw3ogyvE4judXMMDoNQrAdpnZ3VdlB8VQj
wpbAhQ9atu96nPQLV7tTT2IerptJO1dgxsdav8S6dRAx5Uu2kMhjUTkbezle/I60Qgaj39URfqm1
MMzjNhnZ3HQfKG1qKBAWqPP6E3vu8/njQkKfRtawh0GZiQMaRttrl7lAvEwIwG1zayRtDr9VMx78
ZYpgp6b+rGUKwaBMuraRSEKiORE+paAEqoS8PxUkpGRmRJ73MowgBJnBRK+Thzo1E8ucZWYxWjIM
V61e6vJh1ioLGLCWbmsFysNWLQbwmW7J4N+u3M7M2smnowSMIitNOfP1S6/5VFPBFC2UfCvZJ3lU
fujyFz9bzaxnp6dGcug+AWN8P2Bj5id4jIYJCBnk3pvC/gSTqbj0q4VW5tSWfYA7Gzwt/fpjb4fY
4wCe3RqfqDOJexcSu2ZSkktuZAAlQ+PcFwWsAwtz2FrphOFp5RgS70tsIGyrad9rZk80Z2evW/7m
p9yfm5cGKcE49WimRqmtnCraKwBg1xgKUZISBH4z92z1xJSuGcY7N3hbqXPjMPLk5NAGlhme4wRU
WgEgvYoeZWb2J1663rOqaF7DfNCQGrC5HNMxOlgzUcg2S9EtUYiqmztQXBqybMmorZqtpfe7wcjB
3Y5ac01wqsoNk52jPD33dUNEVR1dG4W5l2FHbpWV7oqIuXqgi6vGGW5b1e7vg36UH5CXUT8knjWM
1kcRdeiOcEf4lXonlG4TWC3Z3kWydpRsk0h2kiO72cYqvzdN+04q1PsUTw8IVr1a7w8OmfYcIAiS
5q0xivME8Ex32h3+SChNzDbr/lWYHSIFZZMOKvcPYb3d9JazPAiKN190qjdYqc4tHvBDmP2TaUWv
6WwZa6tJmgP76WClDPNJy7S9Hmhnq+y8oUueSl4+uA1sLaW99ntrE2hy14n5afSbdZBB6qpEhZwv
wB7c5AJQjxp76sS607av+B1vzI7IzTGaA9QIpIsbvYjOoWEleK616zbNmzN5msdAG3mYW3WbVsxu
E5+7UWbT0eFNJAj81AjUHaU8yVKHVVM8KnMLpMe+7bTgmnnvCfO522vOKev669BBC6GVaw3BI9XS
uNIm5IPEUZIOWtP8B7W4SJTkuUjU5zLJDlGTQDqRh7hTryHYwJwB+0wCsmnEbpVW03G2bWoxigTi
zN8qglsZg3pOzd49HBGczcOBwelEsm6eH1pZfM8m0B9KCINiCtLcM0c92VZOuSWtV7mZJ6Xa/P3J
C2nxzycvDtpPqDtzL/7/+5M3nNSsmaw0uiiqRFv3qTNB2Z0SL8v69NRm+uDZvb8JijCjaprfMZ81
11WViDs5y3RVjONNV8cnMbLvcexHMbbbKrQ+8iQOvLIEKR3E8MHQj2yKmWeabAm38M3GHShIWaWB
CLBlu+uL4pW5cedGcfOg2WG17lW4ukwyilWau0PlNuMeCiH6C1JA1bjeakZ/lWrFtsns71Oa3UI4
P3R+cpyb9FB12skui5MkpIIJwFR4zRTttDE0Ma5FruUrxSZkEhSwqfUa0dwYE3u3MrQOInR4X2N0
hXbO2i6ux3vC7A3yFRC4aJN2aURzDkKX8IwxSs59OV+ETbxPBnNrst7zorTa+3lCirBcKDQy2OAl
X5tBeUqDjGVYrl1G6XBMu4wsCw3oecnYvJiaTRHXl0mc3sCxRWSR96lnoWZ09aUNruurSMeJks1I
omjp743JqGgwImYO9jFa0HQjD6hE4pMk1fekElu1zAAjqOhtJy/TLRdt4G7gHNKb4nvh2CdRCcSY
jvLdJ+F4VWoVY29IBEmaqXtWcZxl7SmyrV80kW6EQLgpEYdMmaa6qFETQBHBpT4TNJKHQJSMMpY7
LYu7hwIe1JFFXX1OqWT3f/+o/mlDzeaZVbe0IX6Ct3b+UCIguxgAQ2TRhc9cT48Ptdat/v47UDJ9
KXX4kjo7JBR0jrkEPMnFiP61CGGdk7OmD4KLFGmoYl1GXUTWxk3NPjauUzeywOjE67//nj8sgr8V
WH/+rn/YvHdl0paGrihnMZG5qGkLDyy/5Vb8he6OPBQMD24rzUfL1/d9lyeIY1tGJjmp30KLiGap
518KxT5FrYExMws3qTOorzI0bC8T8b3FCMUjMPRop8aT5SfjQU11q+Npyot1N9v5WpZK5aklyGs7
n6Z9N9r6a5HH7QaZnr6OougNr1W9roQVepzAk9cyX3dpqW87I52RMiX3aHO0fRaQmzC135G97LiU
7pq63lgsnFeaGe90MD1I6ahQ0gHZ7DR3wq0yC5XMYNJCReONFuaIb8lNqXQW4qYD5LzpP6pm0FZN
Ge1rQ9khfLsb5/jREMnBbAskYQnFWuTrQCzaKOchNvfJHB/Rvnn55KNJxvbLBZNwyorHXkz84zg7
y3Dc5vVAWvDMEyzWSRuQ+U5vXcSZhGYVS69O/XMJ9icw7Z1asOonweYWyzwFHJOyrmWqrOutcGe7
3SJRZozfFS9WUJ1rkV1XOPlhUKC1Vw+92Su0z/rORj7llap6n0/hbvRHOG91d1Fa3JFxae7p695l
JTrXj4hcMI1tUBone/hfKVXL2vVvn/GlEP8yCBkMSgxt5mmLT/lVcKFsqmP1MGznvbmzTpKrx33T
Btig6jl/Hv5HtNuiZPmLb764LCxNYyW8/HBfvjlWfpkn0lDOpWeu8pPmlhuYRepRebQ3Yi3uLxX3
9NivGUr2L/wnvZhOYnWINv6Fjkv0f/w0v7/4frzvdIwWptQt2ijzD3aLSQyo+NQ4vAjFVUlyXiQe
63/o1f48Ub5+jz+spuc665QwBIVWVO9BvXOm678/Pf7yd0AbhFGMORojrt//QbPRmpEZVlzeylWF
3BxlTFD+OKH+bd+X98Z/b9/PL8SO/EXjzif9bNzZJmLdo3Xn6fl1m/izcdeQfrNM1EBrItbF9vef
oacuv+GQXxgE6CN+FYz/HHra35bEG4OOnhvIoBn+J4tGdNy/e7st0m/JjpGtJvZDR+UL/v7pwNSE
A0MR86WehQ+VnrZuytWyyhdntzpnG1lZWxXntzkpXCrOAxkC7Bk7gioyx7qLpXHWi3af4TWveok7
27YzBK8R1fB9WjjQoTRxHSh5vW+HKMA5kcbKq4bKkBmkqvfhkUT2DCVSLnxobna8a1qq6qyLu2uB
gtQrOut2SJaztZ8uHRN0FDHiXhnOyaoai7tpUh4IQLjXC7NbCQ2JpagBByrTZRjJg0qAzBQ2b/Ws
Q0rLh1UQi5sy1q4cqTxofZN7IYtM0quXKq0mAcfPPyb4nSvW/hvfQAGr1dxuEN8u21p9qdJ4RDqi
d95UhN+rIZu9VtByOKNcB6Id3LII1U0CzAuWkWJM+2GE9YjW9qh29qWeBNjjsWN0tssOzUYrHNLT
aP2x7svHUDhPimGTqZPq16Cr161JSEUEqqiO5/u2HjZ9p5YXqj+ss7L40AS44Tq6cbqyp8fPTmWQ
7dVsekia7qgU/YeozckTygQ0Utc75MIISRUlaVc66MaqIadMDy1XmfDk+Bo3ismxe6kx22USWFE+
tAMpH8Xgtk4dc+XRJGfMc9cySWZy3koV1Kj9Fk54XnTk4Sx3xKoZ6XSltgfwseu6+tJPa8R+1AKw
ueqqZOZsdRneI5JoVmaa7fW2dpvGPLdjkq30QtPcMO83hvBfEwInknRUMHqNXpyPL4GFC56v6RYp
Bq9iScgJEfqGuvIioJAiaWv1FXxEV0XgPyWJPDMm69dSNN0GSoV1SgedkJe8vg0bWnGtzRDsagHT
ANuJPSjEu7BHuNJYqbFOe5uNUqZuqa3bTcrzf9ExOLIVY69UzQMDtZ3otIehhzEYhI3w2kZTuXu0
+MSwv6RiBnITmriZ/D5WVniCDBcDlL+dVFVclKOuXZNJZO+ipN86BpyEIThkSePDdtReuIZMpOFT
dIk6YMD2ZbBCht/aQiZlzp265pC/Tk2x0frolyJQUJSQwhKEvJ5xOoFix+8UgVj4cqj9xejtDzfI
J44AsgN3B55iqEmLWOHLlVzqY5+kiqNeptl9Ynw3Te9/Fu5/8S0cBxEYixdOQprN33+LCUlVg07Q
uEya1y65msq73PlBefj3jlIpof7ujvr+/leu1+Wzfl5SbOYocvCUoo7jVfiq3sMQayKTMUhz08HA
Wbz2P9V7Nq5XHgeqCjTBCzLrt+my9Y3XEvken6D/SMH8g8v171yvhrWUQL+1P1xSEp0CyQjg6hEQ
yuWH+PoAojmYGpiewaXvZIxcM8R6jQmyYqovIJQ8lomyKkd8eXM0HWwYcds8w5pXdDvCJt4Npa8w
hppU70PjshE5gosH8+7E5Iz1bPAU5XrpKVZtQbaPzNIH4XBE+ZHjrPHqvaldGdPOkKSLzqRX+ycr
zT7UOOFeoMeCXfBsOamnMOB6oN0Uu5wJQ5ANvmv7Zu/xYxebrqP6ikC/Bqr2BBA096qI7V2jG+yE
FMvYjK3/0Q/NO6wuhIC4itaygIfMJPC2SELI0vnLLIYHxAHEblkBugWTqWOC+sS0FNPrFh9g6YRE
a9rFqzTjt9CuLzJTWIBs+RW7uknWTaleKanuxWlwLsr5GJM/uY1rkzSHSLsy4/hK5Pq4iiJqgEGi
xE3pgLfYgLlhmuHNb2IshmoXrZJQsiYKuWBSEd/1/XSFix58smiRcOspGpjMuW0yBACZet3kQ43m
zgBl7czHMHUOYTseuSmFaw8hgXptvw/UMmaKiFMCe3KxKjpT2ShYLD0nFPN9kxTwVbngCdiyY8xJ
rX6gqIo3TjJ+Z4U5HYI+BLmcCxwrWSy3OtKSdRnoJ6tS95UhSwwTvn89KTmBZOSnbaaAjs9JMzKQ
lMhy8y4PrwsLuvOSrxXZDFqq5wnm2LYJ9GVjGzJADeyIWZWxsfHjQ0ljc2rluHCDilAxO4fDHGRv
rRMSN20zWwTkmK3TnAZuzPzn1KYmCeryHCXl5PFFJw8C5SaOUOqIuV9HvgpUPLeag6ZVNwwnQ8/G
4ObFo8kD2UFeEI2h72rUCm7QzW9dLeBXNx0jJOyqqzjJHWqX5U6JNcKeJ3nGAuV4crTe67KHIO2o
F/mAEkJveZSZO45e0KMBKwN2J6pi3eYhqSB2EhNTxw6ikXa6a5uR6LJguFUmv9n7TCZBbOerIQPi
gIsPZ1PX8xg79pUvECNVRmrslMx8cmLtlYkc9yXecW1szkoGvSdQJNlkQ+7NYfU6OQZJDIMNjTpv
HBj/09waB4JIVQzmPLzReqzR4+rDO2jyxzHgPa8lsmDAj3JqQpg16a1+ZQ/Z05CXjedLMNV+03a0
xNPDyEyY6R12mTFSQHU6iVcU7eQmSfEoi27YDim4iQj4uQ9pmxiIwELdz4K0kiFgcTO/mwv/srbK
Uzc6jdcV+UfUVreaHu5zTR57KRAOxUe8AluN4W6ohGcR47ArJhavRko6S1YbN6Kwek/l626qUT1K
nc0EA8s9QXramv3Q0+AEu2YwjiyxP6zW3jQJMYiFDe7Iz6YDIqAXbRlEYK1HRjciFI6m3jpEc7uR
YzD6nQtxuX3Mg6ovNmNYGrMbKnVxqw9d88C4dWB6rpWgi0XT1zs9kuZzkBTmoW3KNLhKgzSQ+7ZS
jGc/sDSU/yYmz8xJWg+vw6PK9HxtjviuVT9I1z7Py84okn49xNTXA8/d2iwZTPMUPnVGtyNinjgN
39qFSJ1X9oS1iFI/XzmFfy3n+XLMu9YltGl2MZZepVbAKEjlhMvKiOMpSTVcW/FHUNvXNcz8HeL+
zQTocEe0ZeraJVgCp2Xm3T9UZjFveBdvpQ880CE6ohLzlWNExy6ZTLcsxYs6co4X+QCBNrtRB0TQ
bes3O7DbEc+afzklQnOnlghPhdCnVY6iIdnnBcNMjBMvdtGHoMuoM20rOkVJ/KrJgdNgfB1tbZNX
U4k939z6hsH7MEWEYCvJnRhP6Pu8LNlJbIH5DKcclVwvLwPVjDb9FH9YekhoVcvQF5y1nUZrlaEC
AZFgRLHV4+DLhttsRise+px+dZYFmxzVNiM+hEqxFoFWBL84GdlW74XqZgO7ec2qbqLYRCFS2ye/
rK6KRkRuNUBQobm5q0LtwgjVzDMDZWPWNU2KnSO0LK6KrLpQkOu5hbBIDurf4sEKt8OYHodyLFbM
DY8+8ZdmJdENRJeTiRZaa61D6ft48+JyEzliXzbyWeioAXUBo8xSCpUoAVKTIba6JpPgfIKPzfrE
dlB1QjZ/t3qn3gwzh60OPT3OELBgaLX4h+OmtuqD0Uq6o4g0gqi26SBszmc6s6SfgTdEt6mfvVSd
vddQLiTtdOoL5SHReamFRIDRFS3HTb/J1OA9dpydSbtaKHzUL+VH28ffy0Y9Zlr4oyr+t57UmJr/
93ry4r1/+f7y56HH8lk/68lPioq+6KioKhdRwm9qhSVQBLGAtUgZSAf5Wk/id6e+lDZzv8UmsggZ
fg49qE+FqaIOo6SkdTP/ycwDeNEfy0l7caKYDmhWLPf8FL8vJ9kNlDqslOkyyq/0yUYk7E/DigLy
fiQ7ZyUmdh2Olp8gNN+QIvo6lani2soMJCRE9sPpJFZ26xyaBHeT0At3VKxXhFDntHMe5rm614f8
o+uCDfFdCzjbfiJEu1zJxlrSSaCfatmpGHQQFn5PDvqsXwyiYoHNnHdVWckDZq95oxd4T1W/YvkN
j6/QzF+SFEHjNL+iyMrRGju7oeruk6i9qh3jIpIAVoVDMh+MiaIYgwu/bw/FALkbA8VRldBRRvrr
bCz4nWcvZoGO32PfyXDzf+ydR3PcWJq1/8rEt0fEBXDhFrNJpLdk0muDICUK3nv8+nkgTVVTKrU6
auJb1q6rFWQyMwHc15zzHFg3HkHs2ToLlKe2CHFwYBzWnHPCcmqSLMEzyyIeMSMbbOrbZUSYR2lj
wdWBKON9YV0UXupYNRFtlePdRNhvSHiTqxa1O5UDg/pIB2lPKQmFRcFMoxgv6cQm0ew9i3NaJHsr
D51liRlwqQzeLAWLlnbfLRM5r0JHNOi9M2Enbu/MschXU2U8zod27PphJe8cq0WejRosp24fTNg2
D2rfk5fS2ZATl0bZCOR7UQMFZfiORAlmPArIbWiQEFNsEwMyBBWRDNupB6nSznAV3NWbYcatfGMV
eBBY5IxiSWGyFBAMEgGkpWsmvIIo4MyaCyeA5NJAdAmT9wq+CzVRTs5RvRshvwwVtasJC4aBmAII
BDwMU/aTM3tN4pGsAAgyozT36YyUSWHLlKpRPsi0vvqpRMs902f6XasNmyGKiHc3PJ1sCm+bAcV1
/VI/jDPEBhSKtRuVEbY1hBulq+yFCfMGFNBGhHBvZv2GDRVnciDWibzALO1nS6cjxaWDoROGBB4L
qDqZ5q11KDszppt1Yvs4JclTAocn1/nMkPI+Cwg9dDoPxGy8+Gl1M8wIn6GxtzFMn7oifUfkwdYb
wP1Q/K+yodmnLboS4FnPUCiZ/pWvzRiu6PoODuQgNSxezJDUDU9noRHPeKGkSu4RBj8EM3ioaGXN
nxYfYurKYiLbtbFeSgenNz6jE2SF6xTIjdCpX2askRhHN4VzZMA7Yty4tuAf6RIN9AxEKs1JO3L2
UTFCS5rijnwXfx1nX2ImUW3HNrbuvU0e9nOXINVlbtDiMJixBWtqB9UCr10/T2xDXc/UXlOP49QQ
MY7Fmjo28bGsd+M9bp58MeQJ9IfKus8y/8Du5mWyg1PiDLe6hrtdxJRJpfPFS8UW+xaXkVWyv0u5
AL37JIKFDFkZKoYsuKHUey7jZ6tBKKB6+bkJzdva0b84JEjgjcTD5PXxIq1VkqUJpKOYyIxFYmJG
tRleMv8ckpsxdq5xzHMlwG678zr2WtAL+nVmOm+D17zGSXnjqRULJgLUlnUvPDcdSwcBu3Eo7Fre
TLq9YWgYZLd4aqO7IlM/eyNVDX65hynPjwQgvamZusclNW5Tz1FWTaydA/xs7OeCej0mdkbf1rzn
hTWtWiuIl7DXACs0JRJu+qcFCQrs1A1yoj1ZHSfVOjSaug9bsniD5lr5zDFFj29vIhepVQ55yrsM
iewomkAsjEmRiCL8ZRSkrQvsd/ntpPvnyJ+ZtP/+yJ/XHEVe/+rQ5+f+OPQZIukCWA34ZhYeGNE/
HPoCCpqBd33egIBC+zhDwptO4icTHm3OsWCy88eZbyH8JgISQaEuoZ5RKfyNGdK36uHnGRJbE+xZ
ksiZecj446EfVRiirUkLLqmA6HAKcCh9GlQR2DsDg4+PBbA39lNbmp/MQPbs4ZQMjEk/KP1LNVn1
oxPI/M5xQmNyI73t87WeWc1Trbcq7RgznZUZYFaSofIIVQqlnT9JN9EI8NEG88YmfaD11UvbES2b
jK+9P71qgScZ1l7N2k5XZBZstIRkKW1kDEJo5GroPGKfqz0LZVypNYgQNFg1zvnxNS4rNuB91eNn
8ms2yJi0RpQ2Lij6dZJ1eIMyy4Yk7Oykj6e164k4T82r7IxrGprqMtYRxHjDeSKwhqc/q42svCt0
7ROBWfoi91g3ZFlEzKk2TRs7xKqOfA9RjDSweljHzq5hD8frGHP9kfDyQxvEPEs9zV7KGn+IrHzw
J31hu8UUXzlYHko5FSe9wgdF0piKlYWRQZWO9aKXM7gkgRHT6Gj4hsxPjhlK58kqnqHAd26timLZ
iup9qqsRTMhARE/dbpMaFz+saJWmtbCsiL7QcaWkHmEmuaYjAO4S8RmAne9dnzpgG2b8L9kN7SJz
8scsiL/QndziVF/aRfJZjYN7M8dT0zQRfn48PABWbsOCeVtnWIEL5Mhb+ARJ+DO4MU/kNTDNe1ml
DK4M64uZZwfsxNditFGXCZtGkJIJU1keLXJ/OBAP6Taih4yQZ5skVBCNyXZyG451iCuPkVkj5gE6
t6aBXZlFc5cZZu8qPYukQNhrWVrduZ1nY9ZYg3au5K7hMf6IChFzfNzeTh3rEHKhzhksu9l4x5hv
bB+qMXrzup61fVC1lCJibVX2E97HZ8vzXY2dVpISbzXMf4bormDy1qU3XZI4ZESirR3vhos1P8uu
PSZOfDONJj5DxjEZAejragiZ6fAwB88/HhqTy041omOukXsHdwXTgv2kWAwmG4O0JTUaPFepwnXc
x2ejSC+6Ux0IsLzpakZDlGZojSy5Jtjok1SUZWBoD2mTYLXNrX3RmZcx7HVWSGy3HJRmXUnH7dX3
dmS9mcpwqsz2nfzP+7qxdqplHqMuVncisGB0Jk7tGjnfA6L1L4nac4tNKPbtIYGWkpkX3ry5aPrg
uazAVakivWieeoO6Yl068ZuieK6dO9T7AVCVVE9v5hhsOl02l2mTPQUmG3U2L9pCEVlyUIgud41g
LBcenYdLRtorFoB41YzJrVp7z4mSjy5OGCwdqK0cezomWXNq1ZjhlnzpzfSVheQekKNr99ptBNcu
8ZxdUDSXOhEbqcutXiTxGjjcqWU9vMgk5+kYZ0upzSk3KvApI9g7WI4PoVpltxCJvXo/dOqsI8y6
RarpE7kwJcLOyH5qUyKy/DxVmaQgqluXiWg2TAARjmU5UQuD1G6GUe6RD6jngBvL5Ts3SPxmuWV0
0JsZXQ1PU5n5V5zZySEC4r1p+AhWfaIkWxW4z6JAT0zGGhkXYtGZTbBtFB2zCEIeKOKFUNdKBHX9
n2P6O2Xmt2qEmddweqV2+mtzrv+oSIAyA8qXHtwW3/K0/1QkAIzRVPpry6EYpgf/eFCzeNEQCxhg
7FGA8gs/HNSQ6GDW/H/KYODEtzVDs2DasMf+8Ziu2x4wqDn2F5HfVL7Ea2V9L+L+LUSVv/RDIYCG
R7DGNFkq8Q41NqizAOnDNhMXVqy35ExdahntQ+tREQgLbmu5Vb2bvjvT436olW6+r6l+MC78xM35
6yvOf9GHV9RIWw4nNWkvUdEykx7nZpUlLpjO3M/r277K7X3XYNc0Y8Nb1ObajIhMKb3BM1ZN2lir
iOTET+TyaTtmibOIvJBLtc4BbNnB0SAgkL177BZEBnZK/BUb23NGlGA+Zwpa2JlpZStyBufEQVKq
7VU1pxDy4Pe3MjY39ZxQCEdaX/tFmG+8ccjccE4ytOZMQxg01cLTQqArHOfEHtpdd6DW4ygKUcAT
jMgCnmmeZyPop32TIwMSs7/18GAvPCzMGBNuugBimI33WczrIwIYUYYsWl15qOZkxi771E36DezX
bYdxlfCZeoNQcSMLErDxTywCM+/BeFU1tnfwya013VkNLA2kTMAj7nLExFuTIIVIhVhYsgtrbqdC
8n+0aTXkl4TAgEao1hnEKPCLupmWaauXb5zTRw7dE7uaY2GFuyGGHOR4Z0XE53Eyn9QEk/YMZmAW
OSdRh5+lIb7wCDdWvSFPQyH3nqYvu7g4Nugy2nbcjXp4IzBRZF4Js2I89uNwROabL5sJA4Fv9Ie6
E08ljnspczIps+nBSDDuM/WPz2Gb3WRxg9sYAM4U70WOlnlA/cfMk1qvHAiNrbtYLPC0rerIeoCP
BOtTEf5aSwtGOW3fkJyJp8BmDHPk5KaBt7VDkn5xlP4iA/tat7SCKgynRRBUaxTAey8Jb9pMueu7
bB2w40etTYVFzhfH2xcrQN6vmtGt5vcrp01bFOnkimlzXMN4y0kIzYKRiNnLTV91a4FvsTHtRaoK
li75HbXeTerBhe2HmvVqEnfXYQyupqfuKsZIdmE/yzhzB8uo7ouZFw4i8mumc0x5Dlu8DCMhoy8k
A64ad+8CIU3WmstSqpHLE2yHnJh5sk7BpPS0xP4NIbsniY60NFImN8aKRavbDt6hrvNtxQyhnhoo
acoZ5sJS65UdDwpIe37DrlfUCx2qbunoj5JpucYd4pazZCgzEviBPU79KiEFM/TbhT4q+7ie7gGH
BIsxac4hq5eINWsUdVzWHqSo1tZenTZ6pQQl/DqhHYhgGvSUsGyq+hSoUmdv/zn0vh96vx1Hz4fe
Pmf6/ysh3jz5/aM9ZSYNs4zFEuUtAtZZGv7nsadCWjU57+B6/G/n+ofGASEefwRNrUCVAoaV4+hf
x55ECvP9lzG1/nszaesvOjzYqw6HMk5maCCEHf14Rlg2wcuDHKvLqHQm0y2tVQl9yTI7AqwQZJdQ
EjQSWMHZNOD+4de6BeAL89sXV92T17hq33NRwFQdgl3EIzqw1DVStWNM1aZ00z7J4LBm6nLSmHd3
cmCorR8FletCb9OzJu2151vHOlDW+ajcImJ+sMbsyQDDZXslQC97UYGBSMZsF7ew8hWF6i/Qd4Yd
PFYjrYoUt+zrzu0YLgFmngera1AqDEfTnjZGpbqsBB+MEqsv72iVVP2bEzYnz4GHWOmfdB9SW9Ps
M89cN7pz6GR59oLg7OQDXFiJzqo4t2BS9Rzx9KA9obfcBio813FcKDEx3WqEulVdoTcnP3haBqJ7
ccL6Jgjak9+PbocfV/ZAGBPzXGHdiZ2vdeVoqzTqyWZs2z3Rha8YZhcokJ64i3dK7SyxMl8Df9oo
UbTE1bIwiwqHNj2rN4SXWfMdW4iyIvPBqNPtNNbX1G7eMm04K3Z2Drzy2Jnp1oAVCRN025bQOfzi
K+m0ZwzoxHw72KDk1Qpo922l2DZWlrE/Jk6ytZSFOiK59uJXPZdXpzDdICSxjVCYS6s0R1+bE5u7
XYXNpLaUa+TgexHeo0zHBxitRKKxEC+DcIWQXzKUFiWNSHkK7aRfm3053CboIZZ5aL5arOU2RTng
jTZa1x+KJ1JmA1r34Y0GFJdJVfmiXH23tHu1XUXbiGTxHbL6KrrIaSKGIZJmpm+6KgMVQXe17IZ6
Zyi52OQl3krASNc4b4p9ZjKzqMs4XKgkr50GY+qW3UjyMX45kBqZjxBRn6KrpmqbWONxbDT+NspY
CMCYsVe8JYSHjCNcyL7WIiqsctXYInJbq5dEN2fGsjbHu1COJVHooB483YzXU9sULiFFGij2+gEW
Czp+s8VlmSDCs/EzTljfDRabjqLdK5r3GVshhj95mTRjLauYUOy4h1HXuTLx3uFonGygmUrPz52q
tkFhOMrWLaGQL3TTX4Vpfqvl6WPfYvMpupqDBVGdy2A6XkaFfPP9JluIKqMrqst2WUuHo2MWIcIN
dxRU7p1sU7frIFjEmv3uF86nbNQeUOa98/czm8hF7Y4jZjm9QB0QpNgRQCtDBYoh/3eFui2Sasle
9tIF6R5Px6Mcxq+tJcCV2nuZB+F6UNoVkqXHcNJWTpqUZ8B85RobF4D2VjFPeeLdgaL1kTHG9UoL
On3ZSsZZvZo9s//nUy7TL0puAz4Z+mqJWzNbR/Gw85RkE6Gbcp2pe5lyOChJM1xCYb2hrHwbZEex
NpAYPlnmVjc7g59MgMXAdNRKbc0EZsLSoW28XHtuSrACPKbA7QDB8duaiKrwefRZITmK/Bx6Zbo0
SfOjy31T2mq2XeK08sSyzLwnYlM7dwSFMyHFIlJgpgMpmisb5h9A0O+DXk+XIhrH1WDyvQ+e94z/
Y46l9yyuL30NOYnln9Nzi4bxCB+G2xJQLEgAXf+aCvYvnefPuyYCr+IQIWpa7sJwMvnbuj0z8suQ
IivBuoKSTCdfXDD97h4zIfZNj5sNGaWzCBXo2C3CgTgQd73fHIwsuFdHlt6kiiyzKkIGI3t9aQ7K
MYQ9w5o8fgBJzaQ7LaxlYhVJexcEcbau+toPXCVnktix5XKVqAt2ErJwkOBIy4StbMTEQn7MMIBl
dYpapNXYW463RVrDa1SH5DbM8bv9U4t8q0U0ju3fzMkxxn3+a/M9/9AfVcg3BoqtwXClVyCzlH/6
UIXMHaluadg00Dri8foXAwVxLG42Y268MaD9WYR8o6PgL8Aq4NCeszT/O0NyOTfXP+gsJUxqQqoZ
AfC7vjvwPzSqZV4ixAii4KZsIwPuzjfSiGFdVBAWTPT8bxgSsnJmJklbQIpAOjjDSshib6o1JQwQ
k/4b0IQ7Zgu2Q/descBGYtX3WaIceNME/ahBNBJDisHIv6H+h/+DfCyYgwpbbeApOBlTErpJ7Xgz
OCOzdGSXo4msi7GWYwNCGukAcduFZbC1UDzxrIkMZaEPWMu3pV85EcB3rm6z7JPq4iPKAn+hj721
gk6VI1+zTWR3Tau8G8inN/9c+t8vfa7H3136vyKEavzMn1c+xhUKaVLENMwr3y7vP658bgoTZugc
jmhC3Zvlx/+qvy0cS6yVUCBThM9SjQ/1N5kINt0mZTk/9vf2Qw533o/Xvs0OykRcgihlHj3N//7h
2q8nnAqt0ZpnX8+mI9HXooCYbQelRJJAqvO0mLxWw0UB/TJZ2o1n5adRpKjh2jDCgtkYIjnZbSjS
ZqH5vIbv1lgm5MpTWhk5K85+LVvoE63kALkrav2nvkUbuZyEL5nHxDAhil0tK4p/pzPMgUhMC71Y
oOT+mg5ZoZXNnvBq4PhFDNrMG566psouO3y6aBlZXftKTYCjuI8y7VRlJmiIFILAKK44CtA6qpSD
uVegvk0PWekd1X54HPFNwqNgu1EU6aYtdmwEYOv5hUYxHIVubIEKTQYLCaKNuqL1JgY2w/SUWs6N
KlihJzDolbYmLAXk+wIbWoE7gCjLbPyiDc2wDNvuuRkMdGB+ckhDYSyxEN3UeTaue7PDdtw67Js5
vVzdmoZl3JgJ+QYZMd9GRYS80FZwB8Yl7nnmCHb3RZHDATkfcrHKq8CVql+GocjhVdRriBwII8rE
TdWE/b5WuAD6H4FzwGEr+2Pdxq3bhR1He67f0bGsS6vV1l7MlltBU+6R376TQewvBpmfIy2/Av9h
FV4cQgxIwQD/rWNXoVJ6jm3yJseC1VXQLRudgzuJyRWTeKQKfy+9dFUVNvI2D+eR1gwRK648Xtuj
hbBZb04pWqJ1nFR44mFEqL7/1LJvc2N0NBudGRLBLj7zMOzh0mlctWz2XdsRyyOqJz8HOj/FxmEc
1bvGH1aEq3ewHQhSzqKrn3XH0NCXsRW2CxMSHvJNWrwC/8m2ir3AFSR9CiO3Vnapv+eJWm9VNr/4
r3LakqzZBDrbHT1+AMv7mEblguL5ogRF4bIsI3gp4dlqJxGCbqpcC0AjdWMr9BdR0BRaTP+7Prkb
YgNubDkuqLCQGthY6sc6QpgstOCA35+gCmeCLtX3Txnn4TLSmqfB6x9VWd/LGgkGNKsNFO1LVBtU
NPZCGg0KTHJiEZP3VPxxAeASWYaNwFFv2jsvwg6Wg4QFheLv/Fr627IprySbvsS2/4kseaQpITUX
QpOSEAmpulK0D10oTFatQExyM9grSr4XlvMKCRDwoF9q0O3UO2zgayRG90UtNoqe3/SCmm8I9TsE
ZvbSDgQ65YEIoECeQqtQXFK410OYPBH6kW1IznhN/WnYkrGxbbtKYp21wYgrLGz0FFVK02QvUTZX
rLMwJxkm++CIEd27Kja+mKpjSBOT9ohPPQ1rEpgfc8Gwa53U40VV5XuVMA3Oq/LMCvQhJ2Vij18t
IRFseI9D5xpJKmlTh6irJuQf1dP4te/YWHYd2AhEItIF5sNUt565GBZecY+6Evs3lw6oH5IkFMT4
RTi6JaNEl/5hG/vDqxk02aoh14gS2mENVZ5URb7HzYBbb4DtBd+PCwpRM7bTrxUiZz8Pt+OUv2Tf
1M/IoK1ZD10gjBYVCmkbtu9Sa1lPD5rc+aDBFtOsqFa16KQisR6RWo9IrkEP3UaVd0iTaBc05Z0X
lF+bWaONw+A4Ito2leK+mFXc+sgKS8zKbmfWeFez2hte18qa9d8RQvBsVoRbPdrwBOOVMavF+1k3
Hnb9ozMrydsculg3q8vJ63gZZr35gPA8nhXosLYgfA4apgDk6Vr/3s9qdbJuwlU2ykNgpi/DyCeq
Ou1d0jcaVJP88VvOg15jO5TGe+Cjrxtj6v1JN3aizj87mvw0VeJrp3IxsJW8Lyq+MIzY+tJIGIer
fobkLrVuOnwnpD2o6Jd7BcBQdzaUmDGFCUwluEzkaqwNOXvSO0VbTHgxLA73ZWCLXZsj0CLnYdjJ
3rjTCu85sABZVEn4nvY1s3pJuhXqxGxbx92DngGdMK1hQgFRdfRT/1RJ36skavPfVknNO2CdX/QI
/NwflRKTSny6DsNIIHsUShRRf1RKqGehdengwOdJ4bdx5B+Vksl4E2E02GD5sUPQjTkL1MH/PWto
DCqmv9MhkDz1c5mE7lqnQyAFQsKC+Vk7mxaJzEcoHOdUn7p1ITy5zIX1YhEgl1vtE1Lxh3i69cZu
g1h7pRFs2Tb+gzcnXY6zdKJgFlISgsmOnkBMvY8f0jkhU52zMkdCM82G8Bg8kbuCOE3hZzwo2nxt
qBVpRnPmJhvDTwB1izd1zuPU52ROHnMefqQI20Flbj2/2pPTwGBKD55SA5Xi6LxMSoOPx64YQ5av
AN1vnUB/rUz1eehGzTWb4YROPHfHIGbtXUYHdjkwk9O8exqF/SlECX/ISE1aqT2xRqKIHuI2+SRG
a9rJ1N95YAHXDDq3U6l96ur07GRkJ5nWHdO1GKRi6YChgNv70Abhix0q217kT3Wl+HuLZDunJkcv
685qBP8mGZGohudZHFKO1exCC77krP+pHrGomP3ZmXUQeajtZL6OUD8GY45C+G6mSljroolfSo3h
C3/iBhkswgZ1FtGSSNMYgPviSLMfPOktcqOut53poCPu9U3kKUczzftt3lgdcIl21efRtajNI4aM
aS3ZqLldkmzLPPlSKUG/bLQafUclNpU5Ba7RtTfgh7ci4ngSzOI2Qaa/N2EomTrzeglGIsMnZMKq
3phGhEvYvsfAnpZ5Hb0yhkGh2GIaa8JLUjjnlN2mGcE+xFFz7H1CJIGUWAay00YOAMsEi5xsVlj4
Uz6wemLlksSwbhKrrgmAgLnLQczFFjoGmEn8IY31ahTKDqtXs25rzfWwRS80bbztLbN2LRVdU6mT
+hSVriyja6ZSMwd8c0qhPxhYLco0qVZwSO1jqai7xM5PRTR86tLhMajrt6K0mQL3o7ecTJPjMmoj
d6woTEhd3IEAzpfIlJ/akPZ5Qt/uhkF66+Hmgpo9bOmX83VFwwGF0ewXQO91LYww99hf+T4OeVFc
ZBWgsxIbQ02Em1JPwWDR2Drpd9GUfQJdd2jU/pRPdCZTk+3xQR0FgWxayuYuEQUUffstqv2dE/h4
+bQEi11939fhHavohzA3dyLL9y1gkdw0dzFZUOhYPmV18mDGJR/q1B+lXh30Nj+1HfbxImZ8nHab
wQuPkmVcNvXbwsl3asXBM0ra72DvE/9Ck64fiqQ/9LW4EYFM1u0El9tvnnuLmqWWE2VVcynahIj4
ydozjb8aYXGIw46l9EimQZK2LDKgKYnq5BfWJSu6z3UI39n2tbs6r584Eg/oi09tIIkRGK+ZSNiU
ctPHScCcO3zyY2tj+Pk2NUN7h7NrY3b9nJvUnPSMSSX95q2M/B0s+NtU6ZB3MSgP2mrH/uKZ6Wbi
2iJJ2Ha21z4wju08qQXVxVJmSp8ZRWytlrN6bJbaMNGc2dmJ9cKnyXY2vdJDH6dMC7uXDHN5bYiv
U83mMAzpPZABhTTBtHaTkqVXLaQWSew+YQyaGzz7Bl3fs5IGKmcmB8dvj2isdqQak5+iOujEg4vs
koPnY1mIcv9Ebmm6Cp3srSMOZqFUCftrZ1PmzrkCsIWOaFinpVBXoaE+wno/Dqp80mMFlEB0N81f
IbLNt4Ikr7z2MT/1B9VXngbRXXQWLIKg9sC0sBCO/aum0AaFhU+eW0kFTnIqOyFjnbV+uCnt9FNB
0Obo0P42YbWN82gTZ0XPWF59tEyxL1kBBwH2w1q57RAhupq8t3ym0eH0FiXW3cTA/5gZZbETvnct
0uykzFAID1S1nIxPamFuLG3OhkDOFjVw5Xo2Qdt5w6Fp/ntMhcisKBeH0RqPCE61taoWxlqE+sYq
GdZyURRIMantTV9s67R9rvvwrqTVH1v/3qvqLfxqOr/efsz6cMN7vicL76kpg243yJs4ZoQvOuTr
JkDVdNgYMr/0jX8fiokVhdltFTBHzWTvqtq8nRJ1W/kOH416UcoqWwTdeNu12h2h0/ZKIFNY2hVq
7U7tbwvdPNUJ5/0qqRUtWbV9GT4aadjw8Detg5Yx2k/tpFsHpQmOdmJJZXfcncwoQoseq+ItjWOx
pWDcWH7m3CAKZAXfdNlqUkKIZIQfLZBNs11o07cORx8Lm2jNCWPQm5EaWGgJBhbSSgkX9AKMcgMR
T4u8c7p9lAw4JJTxa1ax1OEuXsQjcCk9QkVghmAvDGwBXc7uRozmvA1AjaYG7KQWrObhG6X+sVeb
4pJhZHyOVAt9pTFVyhqFA4qbnmi/xJ7grPeJxHrdYYtbFf2ULCdVOfZ6tQdbdqPZ8VoO0crSpkdy
Ka9+WR3aUmNrohOTlBCthpXg2euNyLVQKVRqDRkoHjatRHenN81bh/NFje0X6emnrh85ZEL0H926
8Zin6zXKAzEubSt45cn6SGb31uuDizCGdy/SD9gWCWJkl8aFlLu1QsL5ZBysMD1BI9WpkFP81PFa
QUkBdwsm4tjaS7PySE4wlkmcX5ualReCuV3hm0djCLdqBTExLnapA0IpF/EyJBQKZ4h+6/TpXQNY
pctHiGxZdk/gbMZoIj7QdBIeo5wIkHcphTbaUO4aNBJKHOx8qzzgiX4ypX5gybuvdE5a3Qb5WHym
MV5FsX87eFQK8OBZOwarim4YS8x7GjhHBdI/iQyrAaRn6ySfTV3AiHSyXS7Ca6URLq2xdUHssdBT
DJ6DuKvn/UiTKYoLvxQ3ro8Zp197HTriGQLSOjUJd2QxtNpzZ6OAjtRhzTqQ4Y4yUlqQgZIlJU/3
+DnRWTmSwrjoK3ZRMYPf1k8gy0WPAI83uj3diA4Yatyo92OvrvWoeMqZA9I5w5NTuvCLV+Wdi7Ci
XTUBFipDnD1fJxKSrIAwKlbSszaRE+6cUDhr3wcEG0/vxWicm0LlHfdJczQ1LhY/7w0mS0y4cEWo
K2807Uuu5vtMMk9ImBUHjbhNpHJkozV7WPV1XRPv6BkBQuZapNtgNF+MPhrxIZXQO5LhOAx2u1T6
/Ik1522hmC+aFnmIR7DNwPqCFt2u47pLXLIXECx76taZHz0lfM4ud4KtXyUoXIr4VHiz81yZLopW
HQrVL5eaWQ/LskrpFAd2UmOJ9JP/Gom6V7vyzg+HYgNLesfMADdz0wLvnE9tQz4PKjdaJACMVQMR
XuUoz2ocnpHjujKSwc4KpvpIhOYMENGfNDzC+77ybp06eSHdW27n2x1yKbvSjNM8rjr9xQ4QKhfy
ljlieHR0khnUYucX4l7D/jvlhiCEvGWQkS9FGh9LX2xaSxI+aKRfWztH2aNrNLP2fdzk+5AOP2Yc
2CWEDwJ7eAZLfXUG4iizwjpHqk+QZ7QmEHskETZ6LBPnRQ76FSxyfjD0KMNEbIJFaeTLlDo7BxSm
G4mQGQx2noNSqutcDZGKZ7LbRgly3TorOB19mQr9blAjjTaiqpjWwp6VGqM43VRWmhp6uMg+dHy/
kAPS2H2YM4MUg7bkEHehcsY7Opgc/v3DnFkLhRg0LQsRA8LEyU71NCwceff7F5mBGP9a5PzxIiYq
T1iFKq3kjy8Se+CKlboOL2LcKRnZTQFAovumv//9y9CJ/vVlLFZZEjXlDOb48WU8IRy6AEHhrn3t
8wdF3//t38/kH+UNGi8+rp8/q9oZzRwbZHLJei60re1hUfmz+/7Fd/GLvx8omsYnxAcF4+0n0Y1v
zQNao0wvNn2HcWP8L3Lm30pNZynpX76GD5/PT981FFqV8T2fD95tBGUxonlrKZm3vyfR8vdv5Rcv
BYUbh6gtDcRIzk9fBU5NMfVTHl9EtMXA3ohFwSBVuhzD8Bd+/1rzn/3T2/rha5kv8Q+XsFDDtLPM
JLkUusv8DVIrtxbP1LFb//6FfvWmPn7/P72pzIqcvLW/vxBTcXDfQ7DmHJmP4uI/XGu/uC8tFp/Y
1jkdQd38JNLVjUzLOXizS62vveS1G4iB//z7t/Ory+3DS/x8uU34GHN4stkls18j70Uq/4fLeWa4
sSqGJ2d8m918+F6iMjEaqWjZJeIJyAA3Gf8PDy82ZMIkr5rbBqP2j998pmTU96aaXybrtbfO7bzx
af7Ds+tXXzoXMctuOROJZsndx6sLhkqRjfaUXioKv9GdNy7GLfqRnFWZ/h+u5F+8li14G5pq2Swa
f35OBp7NkA3n8yWYe+oVpNQAtHHJTH2jXb99+f94B+c75c+H7vK1ef2vd7Krm/H8mr7/9/+7SV4/
v1e/GHjyUx8GnoJnPKDBb0PN/2HvvJYjN7Ys+ivzA1DAA/la3rBY9O4FQdfw3mQCXz8L7FHfbo1G
E/2upxtxJbIpNgp58uy919b5mP+08OSNBivA5ZThAOAv8M+FJ3FDA2AYK1JM/JymfNWf0rD/h2cY
HErzX6xLpYz4nZ0nHoJf3nckBWBPGQbpB0HGhafyL08khfTULdmePHeA0PASQdsfxhtoIQA8RHjO
jTp5B6ZUQGmx7tAKCJ5bGhVXnvymRfqGtazNpl9j7gdXQUyI65nHPQxe+VsT0s2lMo+QXl/c2CIL
ibWVwVZSyAqKCkJh5b31VnzrDtNjxGePKw/6hFnZSwVuGw9idbDmirjcm4UPUWymzLzlz1rJzuhx
LvUR2soIn9xnMYVv9NSl4p7TkDVGGn4krX+ymfJ0W50jWthLD/WZ8PK1Gen6BigY0qI9XCmTFQAv
TXfhmcD38iydM8bYs+ulhVVkDwciXkj8Z0bExEpvfbuGS+Cve0ymaysNti5i56K0crELKvuuEbTd
jmLVW9a6R1lbEL2KYQ+N+8mAltcVkc8yZnpwxAexu1Vjqrnq64Cl9AkyfLysEjjUVJyTWhsxiLsD
KBhHjZ+DXu4Hw6PnRqOYRo8eQgMxCR4K+xUuHQzKAArmai/vLGPv0qOcLCybB8of31j4Hr0y5UY1
rVxr9p4Ze1Dh1+bIci503Buf31AQg3bSSkgmWXbZ2OLGjfW3VE1Q/3Wc8xh+5iWnvM9N+zlhpDAr
D4LiUNgb2iTahVDekdjVHRCugq5H/SEekoxyIGhCVnBfqeaSndwxbLD1tlkGtyx6UYN2V+HiVZG6
6YS7oWfmqdeSd3RYCA2gVpZNRZhtmtcKZlt/88bxVu+hq9S2OPHXdCGJz9QgHAP7G+uQNXkFGE79
tKm8sl2ZNngx9uZuMvv5Qm87JZ6zaIryxSpc+kLbOTSiXu1e8nwZrAPzsGBp0ZUXdId+BDyRosFO
Z4NYp1nm0LvjrnQ7MihETszIunOoTgtjMExTUGMWkB1qK1grir+iRYMHbqVFPZgbi+iILtKHpOOX
NAGIWDgRpfd2bt50brUWVb7DaNGIddsV1SEIZXhp9uWDap8hqVt85p5z+gRpwUBTDrltQ5NCDB2j
61E2Yh8ALF+UXqu29sAqRe+lvexrI0HDj1gAaNU3NvOdYFFRd8TaoyAZCd2k9XQ/fPEkHKoWID2E
QWrfFoHFapkr4ENsJ+XahkcBvxXSI4QKVdigKiTrdh/DsFeILf4AcBaG76862WQHLlHeOh+Cecdh
PZeDk6ynmWOQRTzS4LngWVLHFnOsL7U4X4W+ULd+BT2jZOWnoukDI8EirkN/BT19oxOg6FMaLCZq
RNYFvR7UiYZckLxLZVOwBMVj0v3HGKpH5JMqwte1QVvZx3A/GhYeGRyQLO431cx+mCCElBU7fQ1m
iE1b92UGRSS13Vt+uwblAtRXJDAe4I0IuCONZRcUpMq31rUfytJ6ynWPxnlYJUkGMK2up2lewD44
0Ww4meh3Y890KWfYSTFjT9Iou9DhoPD/mgjzcxVI51AkByzFrLV1Y6XfRigqVeI9VHV8yhr7rWkn
UOa5d3bhrrh9SQimJlRk1ZIlREelnh4Yb7pKbny4Lfzl4eFMJklTnXefD0SMp8zqgGf60Zpb9sqd
OQHCASmSgA4oOz5MIx89D6hAG5n7lnXZIo66G0wnIDeMA+GhY9B3F+nMJSBagJgENQnAJwg5K86z
Re/5ycrODerDgRtoEaCuUtTJputFjLGG5uCZhTDMVASTHc0UBq/amF/QN36vjfATDDW+gylMbkfI
WstGslRvbVofRyRqL6zfJZcIdrt0TAI8uI9994gn4z2GLL4MTT2/owRxpxXmvWdiIA4q/jYyLwB7
l+orP/B5bci9l1e0irk9HFROh6pDc5b0AuYZzxrrUAksQg/Jmze6gWFUz8KCRSHbnDboWvFi5kRr
T/9ORF8isMVY/H9PRLev7w2jUdH9XU6Tr/wxFRlAOQmWzEwFkid/mYp8l4Hpz3/CV/05FTH6WFRt
0/vE/xDkZJb5z1SkU6VH3JabroDa6f/OVIQB739PRUA5+ekw7gFvcOap6afbhpUMBR9KJc8q87Fa
A1XasB5K1lUyQ3JUBzwmba2FcuzhWSb5sWqV2Lq67/HRpcc+GCmKCQrfuAlDd03hKWfMWHhLV4+1
I73Nr05gTrT4dJ/Srdu1xx5zUeFOx8/tnii/IHo1WPWmUkN9yRaEjGT00EVyLXWSCDF+97wzD7jp
vqVqfJD44T07Pdf444my7kTMtCQSnKfxbKJPMmKI5PezldJtGAszW45x9TPx7Hvpai/poH3K2ZY/
w0WXilTfAkjBR52jEqe6dtnpQw/uD2O/TImtDcJ9G2fTP+4hY5nNUZhhjgT0Y/kQzRkBsgJuibrr
fcUH5iBB2MCHOIXx3q2sm7p10ZKCz2kWx4or10BGsUgjFEwAk0oec6BxAWmFqHDuhjm+oCffxnCG
xJBr8BtCMX6P7DyQeSi1jptNTwyiz6JsozrMh4Tc6lVDWiLHh7Lq5gBFO0cprCxC6JzjFVMJUTCf
Ixctaba11rntilLyXRoB4ck1a9szhNwgSZorBV1nkYyc+EYM7tQpNevUzDEP2vyGZcpG8DBpzU0J
TnJhz7EQujn3TErxqrHwqdsYjXd9IMb0oQg1LzyZ7ZQ/YvwidZnlNaDpbJiWykIdHVQs14Xjf2tZ
kapoOEcdzG6mFF5M3ddLqnGm+ANflafhoKJZNbaNYOMgQFFzHqtlCzOQ1+VIjM+W5SmfzPjeR+9p
ulgRShAvKehk1Gywd9JOzJVW9c3GHP07Uci9lTtbqht7tqv06jaGca/1gbHqdWmtVTAVON+Iwed2
Xi+8lit4WxBF0vldUlBxUqj0dzwB1CDD+MaMmKmrYmRK9ntZ3RFZeGu5dB+91CRMmUSflRGp5WSP
OsKeQZ6oDChuZlWca47B+dP1u4barZ2JQnhbu3V2HkqvuEtNxMjKiCPyXdVd6XerrnMZvvqpY+51
qJpkeusDDYEZPZc0yYiCJaAyWI1a5pgP106M/sf9ni7cmG6ybtRfVVAt60g+kHSBGV7oI5llIKKh
LRDRla3tycfKlzSRRCWnOljFfldsMWSm76nltLsMOWsx1T69hpHaDXTu0pVFpGvVUJq7cB3RXEvL
CC4i9sAnfxgvW+5zUJdY8oAE45OZD81G6b7Cc0CVk+ZPJbwTMrCpo6b1v+fR9/OI9e8/nUfFfy0o
/Prb84iv/HEeQYIWroPlxxR823kv89Mt3bW5bnMcsN3GavSf8whbEml+gN4G9/hfjEnuH/iV5jSD
y9IN+/fv+be9X5eSXNKF6VC26mMvZ2wEY/3rcdT2o+MMqa9dek5O8R83QepAF0XmoiDMNovUG3fa
bLyADXXNKSSwAmPKkLgz5GzTgA+3n2bjRjVbODBglQtztnXUs8EjxukhcXzAAn2p9Po09taeKJN/
Uc3mEBuXSIBbhI7vbT7bR8Iuu1GzocTBWeLiMGFd2tJSqF+L2XwifaTHJmlowvK+KdtVm0RWt7mZ
3HtUuK6nlPG11wBk5aJ+snua0mKjgjCK8zMJK6T3UoNGik3T0JqtTDXerAE39baHRzt5ZPBoYeY8
QxLVVoGyX6ps0MbrRA7+sKEKVebIu23HG6lO9ArTn2Gj3mH4LkspNpVB2fLQjvna5PWFxGStB4cg
dKolV30ykuosMFiX0IZ6PfnoPO8z0G2BUcmHLtBdZsO92dKoBlFRQN0m7w8v7NZTRrowcvMlQeRe
KIHih3xIILAcjm7QtodaL95wLiUNDRFRqa+52nIku7ltXtdpmOL48aDOj+BWI1h9Hhk+0Cb6fFw/
FXb5QBNtea4mVV5w+o9LzRPrwgPOGFb7IithOrTbHCNNJryDcoInT+hcvFJr3JdwpPvC1vcGlylk
+nZEM1aYhFz0KT2brCU/zyMZ8fgwcPtf41qVC98ItNk4lZ/ZH96xWwCrCECAvKt3tL+U+24W8dMv
Pb/50vYN6Z8mPEd6i1VZd9uamYM7e1PptyHrlmA2CUxUTNa4BjR8DYwA107i7THObdOBfoLZZjDg
N+j8/KwE7jpljsweJBPpDGsldqzE6XGjJY8O1gWvhOnK0YbRnAUI5gaFyaHC7NBgeqBw5inuWNbM
bohk9kW4s0NiwiqhBui73HbMjcJG4c5+Cv7KCav1yWfCZW5o+Nm0MXTW1uzDAB68UJO3pefrxWyg
WM2Oja7PTlxwbvLZyzHOrg5Ls2/jXr4VWrvO27umN4wl2LvrEDtIhS2kqKYDZrwHXSRylWAcaTGQ
4NfuWBlZJ/rzXvLZY6J5Lg43XCcW9pNo9qEYsyOlxpoiAqNc65RYTe4ETJPZgLuvyWFWttqqxNwC
e+yNojTMe7PtJYzOEhtM3ciLCFtMNvtjdHPc1LNjJsYcE2ChSfKC5gc8NbRrvQ2zy4ZS8wsx+24s
DDhZxr+GIUfOzhzZ5Hsfq87QFUf+zQlBHRePN/t50i9rD+LjyM5nNvxEKF3ggtzwOcEOVDgJa7rZ
IKS1O9xPz3Q8bqQY1jjqtonlv3QYi/KeZEHJ6W4Z/bLDetSE1dM4e5HMeQSVNrVM2JR8o4a7OzuX
msZ6irEyQRxYZrO3qfTtawuzE/bRa3N2P43TcHJmP5TCGBUUjb8XTbWLsEzFfvqYmOlFqLf3XlHp
pKv0mw6TlVllpwjTFQ3Jj2lu3zazG4uW5Hc7nzmoDb2pJpcBfFvhyO6RUrxdZpJjxtrFQ3IoZ69X
hOmrDfQNPZ9s74iG5GYNFBxFecAoVmIYg0FxpOJ0poloe1rsdjrWsg7oeo7VTJIcFZRsK3JbXTZd
d7MnbQ43W5jUVMUj6zOA5djXoJK/pMCe7NrZd9jbWrs6RNjdDCt6GLC/OdjgqJnNFo4bbAYH/Ruj
XIphzpidcxMWusDEVo6lrpi9dS0mu6hMj1T7vSjMdyxqSXbg+zbKWl8mGPTsId4UGPZwjR5jDHz/
ziZfs4n9j+rBbd9hmP7f6sH8VT/mEuMP26C5wnK+pggMzj/PJQJIg3AhXxEj8xlZ/rwnz+qBSXLc
Re/7nh776Z6MhxrKERgGA5ihZ/7WPdmfReT/qKVf6gHXYz7TtqmD0dH/opYOZmHCWhfjmUR9u9G1
rFi3tk5gKrVAKxy5eSkg74ODpcYJiuokJVtFbhuOn/LcNRO2wUh3LlShavLBZMj61j7Y5EGX2Wi1
G9PoxCWAnHLHTbi6Nm2GGtfutCNvBmfbJuWTYKu+1Bz9vahtHfrLdJ3H9OkEsqS2ohogQITeGXzg
sCzKQV9gtkyXcSkhv/g85D0sd/KU5nVqadl+yNk75nCJ9CZydpoHB96xKAgw0r7wOQALB4dgekPM
9FOm9S3RYkYkguINm+t9ojR1CAV+4KkT1Vnv3RcUnBtR810CIz2Bq5Jsk0nGK8pNAylOOplncuEZ
OMXhWk9xgPXVvUjqYxy1LxBjtkmV88NO0qR6KLmwHW7mrLJOU+V/TAKZglrzeumbA7ZAqllxi9dL
rQerHjF0Ca7QaWSBGvDLTcBtzNPqU2FWT0k83+LIzcxuXaIhzvg2xealQZpsLQEaxOCDl3pi1f5V
a/nauNX6OdMfzbIIkL9lDfDHNxpO93JrEhvRhdyaenfsDbHB/vU5+X68drwBJ4vDPrHx5iTfiCLT
txXneYJzzpfVToSiXEjTfsQle+o1KwR9U60HZZLCHz8Dz11Da5jh1eEruvW33gvJYKVOsersqdwY
ekceMTOvgmZEt3HZjldJdR0106tfk3oxOjx/UVa6y8Zm2164TMxm95Ak5XWv59SxusTb5qzXVG+o
a2qoT4FhabjXSoaPLOIFNsgWtaLLVoOWg0JweVz9llVznIbdyhuJeHlZEZNBbNkCh0G3jmvxQDX1
FQXZNQqLewyk36yoROZ258SvZOFC5JLy1VMW1VAKK2KrBdMu6EobOStNKfXAPJGT7F8gtVQrZYf2
IuzCWy/weKZKy9yZec4yAGM4JZgMpThzWZlzTpKyIDUorxG+yCFZAb1MOfZFLO65a+6o/gOKEgq6
Ctp2lWmmQ10DAEGOQLAfRrdwJFsW3JDnUmn7puywXMr0nZayxyS33qpRXiVzV5UR5p+8pGCMhPlM
DbhknNLXic+cFbRE88TYXtG9/UFioVoAxKUue3yTibhUZnGLMS5Z5s6EqoF7o9WccEMZRkJLB+yC
LnCf27IGxBRR+JGkn8k01LvRDLZTLyn5yjQXU3VLO0w4azohM0oYZ2utSh8pAX00Grph3MF+bfTk
BYoi51ZX4gsjDbqIS+sE0/AhaTS8v8PBFzk9i8oBaIraUuKr7Etykyiki0Roz12NzzQpL8qGvbf0
SA5FoffUTSajTmiJ3VB5xMJz2JzS4MGrW2GfzbT0tVU9r2f+PRa/H4v/zwq5QGZfNv30N0fjrytk
x0cJ5xTDcvbV0PTjyk4vISRM/A0ONbbzIffjaPQg9EPFBznwnTfw0wrZ/QOanUMqkBL475r7bzB5
iX7/9WjEfIG93HUxekA4+uqd/mmFLChZdkPfxyAMBGbD48JBYbJUzEg6x42Fpjk7jVuTPV+WImrg
Ed/XjvFtKMldlnkuD7g4rUUepTQ06f0uLMM1z6nDthQ4Xln0XO4Q2hMveZNBw0139kIPBW/3bPZH
e7NTWqtGcRXV+b0zO6lraY2wsnGFp8B0wg7RKX7ECHyX53Fx9uaLXzlfAfv5MqgrIz7k3A8DO0yB
ColrnxjkAsTGJzdzKthNTd4VtdiBYjwmlRo3uirWWqtuaoO1eVll+0yrL4cCT6Rdbx29xTngqIvc
m4vquJI1Y3lqHWAHYWdtU8x2yO7t+8hilhdqOKw92N9LKw5QWetbNnIbBDfsyngs26aJ90PmvRgG
VYNSycthdo/6E2kljKbLXuFbLWNjpVIcAlkz76qnmyA0xp2jGfxq+ng4ZjGX1dwJL0UVH4SPVIZ1
cj112keSZGBM6trDPRtv5QTgtQ4wMWhDajNhIED3k7XpM//KCgF9WnTlUe4Is72zbmD3sA7+MP3y
m8e364FH8K3QVSOjfY24jLN05jJtex13QbQxq0oM8DqsJ7KBfXhmE9gZ2x1U1puR0NZVnRunWiVq
rddGRcxhFrZ5hreTad7ZE4GmdKALSXPusRWJQz0kmCZYxrt1QK0S1Ak/SDeYuY9t2V3JAFQfpFWM
15tSCZb6Tvwo7NbeFuAXlwHVySuR1Zsp9k5jPT6ZZb6xi+HFliOObmu4GVpsHsYkP/mT1VpZ2efg
1cYZtYC6BWO8ShT6a5BGJ9FrwcVgNW8k22gsbwwT1g2Ux0jLvTW5dOGsx6LFLjJtnJRDFShMdUmq
ExpuCDNSfeEjvS+UpFXVGtcY/8OvfHmgRxhLsbdpKrXrLERAh3p2K2iehc1tzx4L8jUVfwQ8IbhF
u0aS1u0dfsV+GGy1PJruraqE4WxC9bIq75YCxGNnjJ9ZVKcrI3VusiAKjy61VVMOOJ80mCGw36au
PUGYiT6SqRL7rvQ+1FyEhY0bgyABUm7h7XVXk6AOmlMAenHlNbI6lB4Z/pjAQJ3a67CE9RWEPost
NfIVCl50IcNxkxjBt6wKrjLs9cisnQ7gqC9BB9hQo6bsWJuFvp50t95Rj4XkPiDUFAeZmO0qDszn
pGKIdlG/LyJb00+WbJxPXQ/Su1K36Rka/BHiVhbJcvHv6fT9dPrnhXL02navf3My/bxMNjh+BEoC
wiFMCODu/7m0UYuL7ClQL3Gz0vfy42T6ot1gA+O88meJU+cb/o+4aZOZ9R1Emi9KyO/i+JwvK+Yv
lzZclHwXTkgHaAmQkV+3yeb8h1dZnV3pvLcgZ/ftwrDlA3vccMtt7lxFYFHbKT7RXwXKfASWAzNj
7U8AyzCMfJZ9fMJgcAffBpu/UYNKsAQzHzFIGGM7P+s3bhesc7gNUvK/pDwWkt4UyzKeW4cGsxi2
JET0davq18hLTnj5P70kWksAb0zumPuNitee/Y4YvA1HbAZWW+JNifN+l1TNrhHi2CaEciGZTQQ5
EHkijJQDmYfy3oNzK82oJ6lox9toMl+zBp+arj9BznM2XgDSvkLd3Da0WdBCSjOFTTsdNEDi+gBE
OlPbCStZp1FyS81MhUBnUZVeqeuCXfKipXIPljWdFvxwR4BH5nLyJR/MwigWvN/Owso+QApV29Gk
hyQOUxAiY3AHJIOPOXO0XkiaU9vklNrkYeLQTNdEfrMlZjgmc1WOKKc+9YfjIXK6YhXK7J58q3bI
iUOQLOCSE9WLwhcHY4BT6DndSRTmXR31Wzw018BtNVrtWcSPudzqk//N0HC1YZy9VhHFJbYvnpPE
uAGNwnuJXj20Uysn0GvdTXn8nJLekhnvcxZl7CJjgpCsAZNa/zYnbne0drAqi/txHbVuCJfUIgEd
PUYJP384uinIxjlaT6Kid8tqURWWzVIUemOSgh3MVjJsaBFoY2wthsv0wZ+jq3YxBqJgoomeUKBv
VGOrZelX7IwtAhahB/O96AimjdTlyISvw+4iVkae2tu87M9l6T86RsDfe9svUoNFgp5Xz3Q5XtC2
fNHEpGS00PCXjsvBaJsFNraWXDRKL10cXbUNrPISIAeJM8djZIGtFLbxpZ6Uz3VSx3DD2Z0TceVC
hrFN8oPKgcnByIZdbehXptkuK0diVjSCYxP2e7IX9702bMu2YKlWEjBWZIDzGOW9HSjddCUpvSzC
u6IPT1Mdf7YDEMtEbWVMf2JSAOXnukq2gf+q0bsq4Q4vUzHc+mm26UgaTpfdcAq0eDPqYh+q4mw4
xZU5BLvMIUrTu7Ad53z6PDr2eOXB2E4rc2pwEjLf8IDGwdLVogChHPNVwTctcqda4sjIl3JOTOb6
8C1KVUq5o+WtzRkDa6XtmwLeJksfxqPqKSCr8Vv2QmyNwtlHBsmgic1ww9LQihd+IdRWgyu0dpQV
0PwXyY3QfCjDyDChimhuCtIELp/90ePp3lCw8FFaw1M99e8oPMm6bFmmhpa8Gulkg5vrwhDp3G7N
62igg60vCAyR4emOvHsY2/yK2KCqASEWFNE5BfG8jdVXrnM/6KnvbyOMEiTmICKGsi4o2fZUM6FO
h8pY+wXIHRZUpuXvWLaNZHstbnKX7LLH/lZ8h36JRrOOverLo3RQTJ6ayTaHc9pVuzJk+KsS3NWl
ndqbOCbxRW/fq9GENy2y1bJL1cG2i37TaA0kSs09Op5Cw8IWvOgz970uy5YUmMteN7GfUs31IQFA
wzH0yT1YJQ9zWvgpxDyWW6NTvlSB/YqQZK46P4HOMkEJEdFA3/VsGiukudB1qvuaDtF7TNVpBPKh
YpFs0ko72UVzrQX9MffLlyGWLOUthmfIMa2h5s2YQ5TdUodoxMKAKVJ41WtMyM+dpcbOdGgPdA2m
uU7e6mZyGbQk7JLxOYvMb5Oh811C51s65OAAQfxMB3NUuMacZg2z4CZVc2dShJeU0lDkhcg76Wmm
r4Qq57qQfcSKm5ymcpc1S+gFD+Ol681uVUdwE6HD1uTEXEmS8pCn+9Okj2C66Vzgt1DtvIIgVVuC
97fsgXc7XhFPxB7ZPehARaDddelqcsJHs0Ge8+0kgPDKncpPheQPZ/8w2/6sSQCzxO2zsqC5EpmD
rZ2rSsJVkReVj9HE98lIh4Z3jmVxohMFr0wVnAWghjZvmc26V1fIcW0O6e3IzYcJkttZIDhAUEHu
g76ncFMWj2VWHhINyo/XT099LSJsIpQdpB3iv6Ob2pINzGcrxD0v6I1eZRdpHs3QLWtnJeU9jV5b
LfYUCx19z33uamBlJ5zyLeagg96kX9rs4mzWlkusuQEwXaOhvqmBEDBwJHQyXCAvUwKfpnvhjP5i
YAEKTaretk4sl7HdntO4v2IS2bDZfRhysJsp9W12b/IA9rZapzr7MLxY9UpQ5rrVQv6px1VlxYqM
WnHN2LomvTMdv9BlG2VnSGPJwve6AxQorqCuOGBXvc9Q39ZjySHIK4s+3CncatIg4yncJTA74Kx8
0o6hYWIQIlirtdB/u0LP95NJSd0QBDgjrTqAJmDtbTu+ivoE1j0wMRC8WAvjgBecI3dTbvKRcPwr
sxkm1pYYet1SvRdl+Eg0Ch+L9z7Z1rty9Q1EiKcyDSker9xVZ8X7IK+e9NLfWXZzKyGNWwkEJHNM
l3oWHc1GvoZ5tu0981Ok0yHs42v6nHBmdvptYc8vcc3BJwqX4t+x+/vYzf7kH3wcCKHxWPZ/M3jz
dT+rJdj7DdY+f/oDf6yELGITYCTRISyLbOJPg7dJ/yL+Cp15jVUSasvPg7cQs5BCqRIm95mr/Rsr
IcyIf10J2eypPKJ4JhoMP8pfBm/KlMC0NRSVqkbnAzbYcmFXNnALW+4ijzcRhc/s+HWpn/mP0I96
ljNUuoSoQXPo5VNMLcyJtZdatJZV3ya8OHaO6ttLmQbVR9UF+dbLUCWizEO9ZN9BnAA6PkskhsCr
tsm7c50k9rOmu93GCLA9LvkkEUkvguIyBcn74WvRzagyh4JXQzuwkJXbyXfz+84fnedsYHcjTac/
dW3kwcouSqSEXks3hoP7z+p1kC1Wa36WTp89gQwsdqEDbLqogvZ1wAW6RrmO116DZOAlkqh7NFTX
kgt2hha9obOhWg1o1yjcGlnWd6ANkX00yDHSpNqVab81vsiWdiiS6BJdtQcbw+65OXsR46IXGiq6
jdjj0qjYQ86ceAl58tIXbOKIANgskIDQkIamXX2opLZymCLio6sVjMtxz7o6GcwabwhOEUFDxbNL
n/LrqHlOueBsKjZh5DqHkSjAbSfL6dVyHCb8gtTrMZT0JMahIbZBNYRvPEkxpd3T9Bq00fQJTuCp
0epNEcYHzWOHkxvMNNJBlNYqGbKeMPpxm44+CQmDCti0VMCPOzrAFyovscDEMow3bd5ZKMdDzmCd
1o+2F7NiE8a9xQt6V2kw6SIEGgSfpiP10Lq3flTl+06j+hNbj3upRK2vcnMu/DE7p7wLyHczfWbi
TfOkdrCyjlInlZ8T39BWTTdAA9bY59F3U9fdCigKhG+tpPGxCoobbr+z1XFyX0Lee6tJeMm9Yqy7
8CjKObUMiM8GFMmlnPBatCmEtKlX2pGHF2qxN5cYh03wRBJO3hdJw6asVNRwkPC+igZ86AXeKnqm
bHugAqwFnTAkIuq4MDrtKmw4IZYhEO+dOfD6dWmeyjAkKGlds2UlaK6XrvFZ0QO/qWNUDsG7fQGh
2Pl3BWJ8fxezsfiHd3GZvf4dENXmq356E/OSNQiouX9WC/x4E5t/2OxALM8macn24Sfd2v9jbiFg
yrHYlxMiRwj/yd/NSl/XoXLhxJu5Yb/zJvb5Tn/VrSGHYemzTF7DIMd+XYHYfp40zDTj2e/C5spL
uHdiQ/OeKD8zD8hf6fNoQPnzu0E/sf4MFsM0RCxMh+nBE7K7jfQy25Jw4e1Bog1xtWvAuNcR6En9
MssicRpm56cze0At1fH1g6/bK9yq/ppqUrXTuMArEy9c20UUVlVWCvxbL7ZJIQOAI8Q7GjzlL3kU
hQc6YABFaV2yYhWIOQxRgeXG+CBMmD7zGyrIvUM/O1s7iv6Oxex2bUqplmp2wKpMP1MKVHKJTVNa
9Cj+o3gGTzCiViks5D49meb5NkkgSBjSvu6KfEXMJZyB/s+RCgPQGgPWoeqQlEx1sELTvTkJ4l/Y
Ka9CI3zS05EaS6vZ2FVx7eAaWcd6p207N5zIg/TWIYp0b51Z2dHQ6nZPAY5Y6RGdpmlW2OuBFuCd
awz+gvtTeqhzxNmgHK6nBipplSH89RpBJM1xAH6Q5jJDcZlYvHqHkd+O1nNmxbKyVpi6jXPb0tQ3
erLa11F7oFjhpa483MUZeHqkoWRthJhlwnrqZjBrtGbsbFBFU30TuMYusTUqhZsQ59CwzbsUWuzU
V69Em5OT6uxPChlgseuU1eUOa17Az3DHwltSddfEHq1FqtTWHLIH8yt2BeA0XiD6nIfauCpNCCxh
S2Usw2Wl6VvFW3gBVWMdgLhnhZsSlxrskDggF3KvyI+tZXw6TtlvWlfeDuhAqEVkNOmPtRd5rp+9
UOyKvNwOlnORKHGqpL6N4Eyvpyw0lm7gXo0BEncYn/Mp7ig0I74I0g2laTw5XIerVLv3LYrd2erg
VOz5J33wkpvNm0VgbCUi/x147paG2Hvq4magfIXYXRHIBPc75pd1ih6xNC23f7f9qVkyl+FDRKC+
EJIzHwkqTi8Mt2aw6UeuPZUAhucZjboIQa/s/x2Mv7+MMfv+08sYeeXv9tF81Y+XMXIouXnyMr4z
l5TyMvzxMrZ45VpIqCb86a/N8g+l1EcOpRoFtKJBVh0N85eXsceL07PBh81c1t8yEbFG+eVljOiK
h3ZeiftEoC3fM+ex+SelFJJWVqUA9s7YoHiAnPlZIgHUvzdJvx5spiA9D9KdFnTcVQ3xEHSQWgLW
oCvH8d66PLv1cikW+LRXWK507MrxW6/p+3aoL3D2hsvGwfYb1wMRsaHbpJbxIj0VbltTtse8rvf1
wFAyxWer0/aQg050CCyMpqXqiDZo+Oxczb3W3xUxqUbGRs8ifSDdcllq0xWdG8Eyi+WNaXXPrB0w
OqUFdTGawUdFu9OimLbfIWlpIYw3YeAes+Qpi8cXGdLMkDjJTduAFmrqdmnkzjHXayRdEhdjWZon
vbLPEc0cOELs40SH2lD0R78NPiohj7GJw4id67Wt4KqGRXCSNldldNlnNKA15VjGKxrrf7N3Hr2R
W2sa/ivG7NlgDgPMAFNRpRxb6t4QpcScM3/9PEfBVqjusW9pUQPc8sKwJZGswxO+8AZB27FnY1V+
D1T53qPMDplZK6ZIXFz1lkQJruWLQCiJIvtoiD1/rvAdXDk6CsZ8DcSqWrQunpngyJOprxbGMsVA
1O0pQpd2csXZeFI13c/ExBA6stTD3i6WtR5he5IkQlNaWdgwZQvXOIlURHqMbtxrOkUGo+lgDeos
BKIJ+tFSrm0g03Z4liZ4YrVpf2hX42FX2ejru/lN4EMdJTpHKBo2bVGR30RRfWOM3QEUqnJSV8lj
ZpdHiI96UA9p6/q4n6bIJVEWRma6Vvcq16GtUXiXalxi6+kLlTwIl52JpyO65/epZ1147rBsIlR6
kgxx3kx9cnJ76PX8YCT+N8P6mv+3l2b0r/XWtulABBXo5PqUgn586PTJpXmYKbhpOohnmQQ3M19z
fWo91SMk473QKhHqo2JSN6WHak90pDTFPM/ArMgRvMxWqi6UtlyGRvRDH5Sl47Ep57ZBtwNMf52B
FUrT5KwJffC8FRIS9Qg2yAVQ61s5rHHHnkZjeZQ7iGKGCagkCrJL1csOIiw/YwfwZ0RAokfdfujX
4dQvh+PSYex196AGf4CjTWANdw3E8Ws/rdHW9ZwEl/Ustc7VXLY1b2KXiXQm505xXg2iAIKn66LW
5EUk+eakUd1HVJQfXAMAn5/RHJILa99K+++VWd7WEflanmVnnFtLyY/OFDACNopuU1pfs7y3oO5Y
LTwvGbsFoz5WtFjny+V0jOmhan2IhGevz3EW7iDRWFgVI0c6zaF41lgpaeaw7k11Bt7uJ7TQuewM
V7xon7hGWg2BdJgW/tKPpFUK8AztmqkXon+IdHiYDOiJpWhUQdUe9BHJgfpaKUpsWgdvpib9ok3I
KbSA3CYoIkq6qmC7LzsK6Eme8EK+10LftW+E9Nu0BSIcSC7cudSaDUk18wPnJgHVBGzBP2xzB5uq
InAWfWLi2hKle2RlxzQ07iqM5mSA1ENvYeJEgIQPzhEUslVXkvYlqkzRu+t4twbWg81eU5V3Tdme
0HSfVaF+KQfAspwBW/HIMiH4wXCNWIUy7a2iF9i8SL4wGvehwI4XDX4SQ8ezp5XV7ike9USpwD0Q
B1hXHvHXQjY/DMCP2EE79fXmqLPSgx49tUkSxVPds3+gbzapTXsPRAMNQnnpWA0u8u21rOYrV+8X
Zku8F4Ux+1+fSpPczM61Brn3YCwRvfTQ4A/3hDVNHrTHrjleUgefFGp95qrNflm02FsgJdY7w2wc
1YVplnMNeVJq5e0Mcf2RXVhbOEZ9QIq9sCkVTB263EUu38ZupVKsbn5qOEJNqVVoWOZ6p4qAMHre
mTLah7hstNMR+cCFOXb7shlBxgI8EOVeOE+kQFhXGc0Sm6VTLZYQsh9OVcd+1NSRTkmO4iNZaGlL
1PqLdNpJ9clQ56e1ZV/1QeMDccNrqk8MZ96HanwTae4w8/L2MayaAxTmvsdNugrRGPAdqAFNGZw3
o0pDrXw0vGHeNEp+7Pf9ogjHq0hRhREtygGAN6vUOCslN0M5wvkhmeV1X/QHXeLTdG0SCyiDPa0V
qpKI7fk9xRvcBPW6ZhvXh5VbAGGgVYco2p5ZVdH3FqwgaAcalgtprLupjfhZLAcr2pXhJO+ScYb6
xr3eas1saLN+VmGl7IzjiVIm2pxwwZt5qrKgh4LtsIYsAzj1qVNHR1AA2S5x2JwBvrnOQvU0Q+WA
JjH0xgwNAb+6M6ji1zIlYGk4qcyeai77V2kBqE+N9KofpO95n13GgUrDONVmeRxQG8EvtY3gQuij
jesicX4MNvGspLuHRKMV7umCmGHCV4fop8DSPXgTT4G6H7wsfWdxKnLBd+1yy1SANqNkgjA0PDAB
9HoTnlQFhrODozknykUyuTEW7WkxHSfJ1FlfnldHqLvNs2m9Fxway27m72ULf9/A3evIX/47wH0O
cKnF/ibArddpUMXrptpQ++Uv/wxy5W+EsRZKOnimAG5/G+QCohcoQB0QhQEXj7LrK1Le/iZblqGi
RU6j3nz60WvFwfomFMBNh1PTdJAX/2cUPmFK/H4W2TJ+HmA+mC2k+jKP/nYWSbakRWUfZycNMdt4
FKq5ER4ruhyq85oQ9pSzpa2nSWxgIF6cNuReOtXXeakml60CDRnu3WGhlj/iIduPq/Q8SIJZLanZ
RAtR0zGMI1ZONE2tbulpCFaWVXRIOfAat4EH3AL7SdaqFeoUZnaGXPVCSSA1+yOZtetHaKVg/BnX
4VHdQGADnwJ/uU2VWxW5ElhTXrzoPCK5FR6TZbCvRmbtLTFQABQlQwcHtZxrocmpBKwEIG6+sgIr
WRYWYhZIoOqXmluDeXOTLmxmjkNN97AMg+pH2LkgGlokLxctDiA4xjcYIVSpCcPRMSpab6UB2fnJ
mY/DtB3nxZNjX0KNH9sWfPwaE5J7F6fXVs62C0F+aT+Z/uH+l7uI61gdhoChsAak/nFEfaWYqlWt
g2YP5sXoyrCftHnmwurDYVAqx1VtSectnb207VagyQB/14d9Z5w4Lcq4Nl6FZawCnQjWuZQdYFko
TbK6OWqEvaGFz6EtorDSUc7bRlqZOCFilXts44yoauUkkbo9mFLEm8meh4Oi56THCY6KTYZy+FCd
O5jGocB7RbOf0MPacxXvxIS0Nyni/CLGo9FKcUzP5WVnVOdlTaOy71ahqV8nnPcyHo+OXe3HKIZO
MWdT56HzmMIb03GF1FARpXe/1HMcBrMKddfqFGv7H+iOEJnasxx3yRT3zTFDLBCCPWjJ4xTP6Ao3
yhEyeYvcpg5hjHdJs5tmPu6VoQvzEDfLUTMWJF37ZDLL3JR/qka4sHG/zLX61suwwxSv3rMAC5UK
KkjK0sY3UxH2gQ1Omo3qA5EPj0tkqqG6TetRujJw3oxD8YaxXcFga1XhzWkHEDDw6gSuSG4QX5PG
XGWyD3VLWri5cajh8Yk8CLANKB/moBx2en/b8hBTB1/QCH9QFH32wURNSx+TSfxDqTUfdPiJZhWI
WXsoH0pLPW+d/rwcBLjea40zCzfSwOywJXX1o8FQUW2L5XBFDIR7aaBmmtCTYryMvjiRTQOVHaZU
4+irGKTkFEF7SiyVcz94/bHcIyWUaESQCNYWtTnrEepFdt6aaUXxsw4Hpp9mzvLcXZLNDQtJc/HM
iI86B1FAO2kuI4BUmoTuXaTXeBdmI16TJM4TLdGtqeTT70fsJsXUUDlydf1cxxsE31L0qsOeN071
/DTMpWWlQwGmWbuXEwlPpQrVUYLDIwyblpGLSjKhsUy+hGItuIZApULoNNUp3iuIJenVgaqRmftD
hesy5DM3OtQKaamAjkpMbFpUoZNVJHe5nvAyRmlGeg3l0YX8EdTmmRHbK9RotFmZhVhvRy4snbGv
wb4000wGgKr6Bm7eQX6YBDFIHsIXmhU3taVjuq0m7VRKxuNG0Y76KLg3NTJByVaR3EqNSS8UL9Kw
PTdT9TtSUvvwC/ZsqYkXeLrm4Iy6I8NRBiwo2QESKc6nTp42M7Vwmwmwm2IRNsNhBm4ZQ5ngJIqK
q9ZsMCb1+0vPNJjvCgaDSAm1dnTixgwNkGpcMcvwikA6nSK44RBxS90hNI34wDeIKf999j+d/Qa1
oF+f/ZdlAHV/+Hzwiz/78+CnnwCjTaFFq6sObJZ31S0KW39R515OfaCWRAiORWELJRkhF/NXacvB
g4Q2A6e0Y9gyBal/0mew5PelLQPlWEO0j5m+/ItHETozb2JHYES9WRRVcpoqua4fVWqDTNcgjNQg
lA+d6oCIoTWAolF+R2fv55hhCESmdYGpFcAr63aAxjrPG2+vRHyuyIN0UttUbBvdOpZrXMNYPTGF
JujLbsbBQRrhL9Sc1BIO8bEkuZGwXK2nbNcn1VDfS6LKbDjdvc4JNvcp3zZIHgPbDA56nXAAwcgj
ifijlDNjlvnaiMOniQsYQGRgieW9lFHmKZtSCPIvxiQalrJq30q9svDR5JtQVduzrPo4HSOQSxEw
M6PofnS2dBXXQzwNI+VCM+obj8rjEuk6m81DM088Ov/ojSGc1xhROVcGb21ZYwYkhZKITcECa4GT
TIAqALlcwOAuJj54i16V9xPZeNDrZKmBx6j04ABkdzQtYRv2IDaQ4uO3nb1ELm+QGVxlPfg2lAFv
MrAeTkiVG/Fm4B+gbe5KtTopx+DaAB4S0R6aUTAFMWKYp6j3qMBRur3EDyQQgxLARKnxFkMUXFSB
dtzk0vH4hEWRA+RoBD7FwDFgFSq0oA2BXulk/VQyOqDcFXUBQ4K0APbsIPTB24YC/1J4kI+LRp7b
QGPMisZ7R0kLKa59OwMMJjvJST7oDpCuAg3+PFXxjBKxDqibUmSd+RDby8jyy1ko0Dlm6yLwKhA7
SsxPrUGFU919dwH1oIp2asrNiZxhPoO6SbEsgTX2qoooIZAglf7LpBcoIb0bIVUBHEKWpZyWqoRq
uUAVdYgayMCMfIE3whjzNkQAB8/bU+qZKy+kkmCq4RIBuauk1vccpU8n0Whe1WFBEdf7Dg/hgY6h
RJmK0NUQyKdWYKDQ9LlJQ6jvngovy8qvJYGXiqvuSnJAUPGncDMEqkoT8CpJRclANbHRUrLHpEJ9
OMjyI5K0k0iHMl4PPe0scFsNweu8F1Auq0s81kppQ7sIUEAA8QW3nVNGK/t17SL6Al3ChVoDREyL
wusGabI4uNJqJWYGAiZjrc3oRhNc1Va9TFHro5RJ/75XVBfJXqwZ8g6EHepjSRhosxHMGgQOH55D
QZAFni0QDomDgLgFT2A3UG8u6LeopynPXLvQMcYYHiO5SLC/QlPIquaagND5Pn52qEBA6H2UBc4u
t/THcpR/OADw5C4+zpFFVAUyz6gkf24O+EMPSXHuN9U61nGWCYaVnY37OhL40/IJ6YckOGRGHSLm
8KhW5U9Pag66rD6LAQliFRQtgrSejcAHNaftp4pAFCKSoU5CJNeIb8AblnX9mAtbwbjvBKPJWgdF
+ZN+Ady+DLS3KpCL2E0gs9MIgKEh2ajl6zfsugXhWYmLAeDHGkWvCS70wYwN+QDd+X7pVU2z8Md2
vxboSRUYpen3a2pRlEEFwrIuqhimJEdwpRd7ZmLO8AInc/D7i9ooKL0IMEkPbwOVJsLv1ChZdBlL
wjaR2qN+n/XucSY0KvXG7aeW5F24rn6S5c6F4+p7Wj/YUxP8qmhYnbs5rBRPKRZebcc3ZYe3gNu1
hxK5JKhpsbCN8NoywRGbbRct2FZxc1f92z4Fb9LowQLZpH029PNBz0ALywm1FLU5A/GD/6RhzFrI
AEufwt20rTQdlguYDDvd911Tn0ZFjGF9exYYSOWpYD1d7BzQnSoJ1b2Yv23bCwNty70xbW4rnHlA
OZTuRE1VH5WlQppiQfvo6MCHar8MlmBgzhBlujU11nYRY4xHkIZ0aO95wsgxPZbRQZyUWXGj2InA
VQKdTAb0GTUV5ggWazgSsmcbeSovQnq7i7jObtH/u6YdqE9J5BYIFeLCySuHFQmhttO0aFL3srcA
YcWY4oqyAkcP71eH54R+GIvGIP3U2yt/iM46zsRpLaQ6AwO8oGEZHtoOA9PNtqJZEwoMoUA25dKI
ZzkIkwHDQljeaJB6MvJMUmReGTWYfpw5jcw4RUrmoVe4XKWHN7BjiEwB4EzMJj3EAaxAR2c84vzv
J5aV7smKsqrjvIRApDbzSCCtijiMVxU6jZrKwo9T7Voa9JM6qO+7Il7gBnHFYS/jnQlcnPN/VQXe
CRn8JfoNe4jTd1ibYkpCBoPZD+AuF96SlQ4VWTjFa9ozmAJa1l3QZ9IsKTNvWgiwypDZ54qbFHMD
OxIUp+DT5XkCqS9u3JVcDmtTYjLUfqsuaNagiwg03nal/cDz1njwzTyK8JM+zHGnp96WWvlpFrUK
TX7Zm0uKcYe1E2jrOvihywE284V5Kjfm90w3AS3F/d7oaY+hjJOw1lKQU9USNEOfoqxpEY7XJqR+
GXe0eRrCGVaCwZkUo/LDrNpjR6c/NBL2I3zKru0PsLlDi3TOlMK1jF0rXuK0PAI3nBZtfhAIgA+m
5cthxGC+0QQJV472Qq/upyh4ct7V1P8K1U2nmYAGwYu59z0JmLbtlYtW0WSEItt2lslYmEfAhQfJ
vKZEr0wwwjCmSSFd+mV3BUkEhlXgTLMuPmwqxZh4jY2kJExjCh7+RW3idUo0v2q8ppomMsrBaXPq
xUj7aFVNTpNLDUkc60mjadh7UjxTo3QlETmxIEOZ6jIOWV4iBIRZ9qXPERLuFabcTQWsv4N9J+Xm
oynTBIQpNrMSQddzokdLEO1ggt61Q3ngcJLjNGLcVa21LGws31NP2XdTDCecsUUI2YyuvSTBDqMv
1alNVhJKCX3EW8wuDgkMdBDNOFkqTbifG6TYeROGx2qAwkeBJadtRz88yaB90IWXSgk0Nm+kcyuh
daGiAqI73XVPzDUx/RH+Yp6l86LGkXowaDslUcHXQc4QNF2pz+k9HdhQ3Gx7EI0+jGhZd49ga2hd
0U2dw3NZoBR4k7csXb9UzhDZFMmidqSZQS2kYLDVjvIL4OTG1ECcgvCyZ58u06NeL3F7N/V9xa7v
aMfQCg3q66KHDZ408hWG2fv9EF+qOAnPuoot1ZJvW0HCsCkSg7i1ulkWN4d5VS5SubcnVFNIXHMZ
GTgzfHCIjf0WRVM8fB/GpNwfnTQUNqwrnCpuAvRsa7BreQtJsyLKsyK2PoyRm6nvdNYyo7U7Kxpr
Kfflo+kT0llZj3wwMV8bkiPTzaX8s3JdUOVRunbt6DasmxNdL/YRS1JmHv0jXOM4KTUo7YV13vvK
vDdAYbhFdtFXzl6uI2hPoauQw9MaTSYYsCC1NZ9Gl5DRbg/LPlshQDmNDbnF3z5U8Cz1LDU6i9PR
vBmywLSPC4lWwRkS+Xk7G2wT0mMuPXsI/Fvj3aAe/JsctInX5cOGFJS/ek1BFQshOITeNEARwvee
LPAVYIH9t2Fpsg0fTojHvcEda+Y3AiKRbAoAxDMX8LX2LHwtAcJZVK11hOCBJP8DtBs4ig+1Z24M
rhm1ZoFuJhv90MGg2igXAIWaY7S0MegImp9AKHEfikB8ym08G8pYUKgQTsrcowB9jpmhdNW0TNvT
pMpWFlx2YjhsqZy2QLYiOABuf4RBZDeh/30hy9F9S5A4lbKWY0XqUOntVGz7CGVd2fSmSSVI8PJ1
B1pUrfQbp/CopvqOjhcFPUBHGhdYEEnzovMRfSolkLx4EAWYJRl2+jMfsqvWJ7XKahREXNP8Xhb1
KoVFXzvStZsOuNJa4KWDozbyD+ss+FllNmGvY52WmoGauGfPE74Y7OrAXKoqjoBK9iMZ5GGuh/hJ
YZcbTYu427Od7mpQ8xI3826h6yPmdyGCznoXYA0m2fe4pRkzOzYPqzq+xN8rmtpohRmRfZ4Fzj1a
EKcBQu2oPJOCyF5Yz90O8HHego5L79D5+OEW6gntyzvKGUBLotKbN2ln7VVWcurlKHr61QTPvp+x
imZqHtt4jSMtD1oju+sUB6YEGlnJUHaTnDrcbECYakHPoJwCXD/EiWu/0N1DYsPZGOQlsUS3kMsO
RRpnz1ONcySxHtH1frCS8lILPFhv4w32zclMFghpXpIjl8ak64AZqDLJGi5c5pnZVke+0z9Sjs1m
lPeXmezK06YEzZLI6rXuGed6jYwg5umXuqc+NqrZ0msXf24Qx+tac5PQqq4yGpU0X4g9mmCG1nS4
NM34R6aTaqh5A8/awE0JDYRpoQCJk8HgmWO0kK08nAAYXha1T+czyumY5rw1tG+7KbBOiiAQCIvR
XphIGC7ditCC6GmfsgT9D+qOE8Am51ZMXy6lSM1RRgvRFYkuvsly3dNaHKuQbiIzzgABPbVHJvFQ
8Q4TNffw4BsvMq/krqnNidsuXLm5GG1tP+jgdFpqDOuocOmGxpD/2ya6A4ZwY1PQQpAmv5UVfFHT
zEXwGgUgrLX3gKkgsCD5ezIy8DPJitKpLGdLk/a5IgfNtJIlZ48mBn5krf2AQfkhmWs7gT+Tzyll
rEwP6zS1QduBQwUReGMfFS/YRzVsOZKQ26pxyJRLhe7/mI+nVJ7UAz3FjhuDesdbxarjY54edde4
zpXtvJQqP/jOMLj1iVoLezkzMLSF6SZyemmR32TI4ua4kjhlXPlT8gLrlKJUAKqwCPxTrei9HwHQ
mSpmCk10X3eP8wrYSW2SJHdgtqjB+pbjXfiFTDriGP2ZHEtI3BcBqrIWoEWC+5hms21WxaqxZJfU
IehrYDmyFqPbPWhTpYvPMEnqiyWKROpN1OHHdBSnecM+E/sIPJjWnewh4EdjaygTDJ2pggmdct0o
MF9ULe9Srq24+qFi4sYJrY00HEjETPdnZAS+fiSj7IfVtNM3+b9Lts/gcLRMf3Nc/mhu1xsOy/fQ
cPg2OguX401BuOyvwxIHaHq3srCH1j7otjj8xAHCKPrwL+3d18PSxhwaNX1soNUnHdZ/VLLV5I+H
JfcAe26Ko1lIWCsfoOFxXdZyn/XySY28GMRkY2miDnagSk1Oqqfk4JvRIwP4grJR5FaLDKWRaV3p
+2VmQA4WSmaB7hiHpVA30590zjoTBWUM0+0+PyrxU81bGRcD+05pkflUkw4wdiM8druVg6B9YOXy
LGePbioMQFIHVW6rQ6sbGXw98NPLwvOQes7zO7OzD7ImvyoV5IvpLgXYfxZ3sdDVz4TCftF1e73Q
3MdN2E/PZI16a6hTi9RQp4LKPK872Z0mneQiK1E20zguQAzXa6vx7tzE7hbISctzb8iLFZxevA8y
6bxGEfTUQdJjkph0PWKNU8MdLGvmBlQtsPODEOMOp1BtkAhztPsqMM98gy5oHRCB+9FNoGqXdebk
MylUH3KUjufu6F2V7GoByPAGbvIkGZU9UCv3BBbpJPT9vciBfC9DKzHVH0nqHYSjc6kgtYLhpihH
q/JlboVYtvASah/VsNgld1RrYz00FdLYVnUDIQgAVg6cpODg6HT51I51Zea7wVngkCNLSYe8yDDI
eFun+aNc5iCDRMczOGiHzFtpYXXemOAHe4LwyViSkGESNgnNmGglj2cW5TLMRCUQbqmjWhRv67iK
0HFBODRIK/vEUfNhiWO0OmnNcIVJqnPkVeWDWiBK54yWdyaJ4toYGFgXtNFxMaiPMcBrcwJdTJ75
oeoco2DuTSFR0jeLDG9WG0m0SNkM970oO0HLjc0/tk86SvRT04Tk4w0URyO6ZxWGj02pHsOIScm3
R9CSATI6SpOBCzKkZdiTaJLz/zRz/ztmsA3iTM4Uxdp0xn7JuHkMbpyGGVVD+A8B4Fg3u02QVKEd
h1xfKp0pdv6oYy/V+P2yKXp7mkZmOZXrUluZGJnkZrLf18Zc97STQYlOiAz6qROThspZeC137pWR
IBGKfQ8mVZJ1VdaewWOrh26uVvT5qNQWRYJUqyyfJ0O9L+NiW0TheRAgNt/EPzq5vIVqkeGFikbF
QE3CLqNmVkLAnGRySqmHwTV0ab+NNX1pyvRSGmTZybWtQ5R17mx11GZVPVznmgoLT8kXecXJl9Vj
MRv6dhW5o0zfWT7u4u7WF7p5plDQS008PzM1v9GQNnTAaZmI7YVCdc9Gfq+Wu4VVinquUOYDSZ/B
FWgOeqHaNwj9vnQw7msBfy2Q2UiQ+CtccvxAqP5FqroM/eqnjRwgONorBXlARarOeD6UonR0kBAQ
LIWSIA8888a2QxU+OrJBP6JOJJ9XjvZzEDqEsN7iaSC0CaVokFaZ0CtMKaS1CBjqjfTgI2homygb
5si720BI0Tt0hfLhWKKBmFj6vHSLZhYKfcQEocRQpoxtQ28kVqvgZGToKWIlDzlYaCyqiC2CVwNg
KPQXXUQDETcEgoH6Bp6i8h0SIi+ubf8P0tKXRxSuYPMnU7Cz5qEczh8qYqPqNV8TPz3NKJhfZv/a
L/3+Qn9gtUGH9HLIsSNb36PThVx3XQZ3tUhPn362uv+v/3g+ueWPie7Tgz099W+vE6+5R3PPHTSy
WcRIdfqaWH3y4fCOM2iLzz+WFE5wqAKcmio5MEn1mzH61Sj8/gs+D+fvf+e3D/9xED6FL//KIJBG
G2T65O7iw7B+GgQbhR0IbrswCG8nAoQzgGnvqh1/5/vzBf+aA0jo8YphSqOULz686Xdfn5IH7SZM
YGnZPn12YRA+LQcxgf+FkRDv+u1QAOWzoY1pz98Ujsy7oVDVbyq4Q0tADndyNSg88T+eDe/HQP+G
4ByMTZ2pJT4ftwTF/oZrAVBKQd98ni47ORQiEdhyKOxvqAuQM/xqd2RlWHxgJYED2clBUHh7Ww4C
phgCdANO+ul1f9oeVBkJNPB47A47OgjikbccBFsw7gAyCGjR+x1BZgqoqqOhYb3Lq0HbfmOgKE6f
VhfS4E8fDsP3Q6F8Ux2stxzneabsasTwyfHs75yY7/dIiO0gyZn0FOLF59M5AULdEf8QWu3yrBCi
hFuvDKQRVYX29vOsEAP1LoKUv1Eacggyn+tMuxdBivbJ1oOAQpLjoH/wPB8+npnEDWTOsHVf9uPd
GwTBb9hyECxYGaLIhhzP0+fToiB4wtaAZbGrO8PLCXbX/6f3kP2Z6f2jhIpNUjCzDYqeT58NM4F+
In1AEVcx4Ls3E+TnWGabQXC+qWLFEzj9Yk8QEk02LFD9eent4CB8LIr/4zMCUDKHJbGB2BjE59Ny
0BklXMZMdVeTCXn7mAGHTzDchvqyGkSK9vF0YMukzG8ID5On3HMnF4VQS9hye7S/vTDPXg7KT+GT
iqKZQZ9CxJi7OQjPE3WbnYFkwsIAR1bM50WxYXskyAao7+xstPC8b283CBYgEApOL/WUj4tCpJW2
wT/Krm6PnyA2/3h7BC2jabJCKvHrqhM8bHgbxk4U3Zj6HyuPQs5qyz2B8ivy/oqjMtvf74sEjDQf
LfLuXd0Mto6axQmpKVDEX6ttH9cBUbNJ+QUlx12dAsrWNSa04EXbHFPqT1NA/6bQT0cI9yWA2NWJ
8BXxIse/xhd9zpZFVvp+Ncjf+CFqnvZuVxaU7QtNBAHg5w1Qgs+h88ehUIxvrAjODqpRuxwwCRjI
lpsjCq8iMkT6dXOsAEoTAQAihZf63u5lEcpXBEyoDHBIWC+D8HGPpBpPFGFCk9zVfFJ53ry3CZiM
bxoSkTQpn+f8pxI0AZOovwA+eg7Td28mCA207ZYDp6XuPEF+X0LnT+cFltfYkOgMw46eFMr2JwVR
I5VGiswvNaZPy4FeJT+jXb2rM+Elpt9mOTDbOR+wLwfsJj7sMu+PSxUEnaEg/7erSZQA4W25HGSM
VA3kDF+aEZtiBlOoHVJq29HloG4dPGpPJVc6czj8PH2IP97NBDZG/GQtG0Xc5zN0V4di+8DJ+UZl
mSobMsMbh0LVKLdB3gSMuquDsH20YH3TZNwTCZQ3h0z0apHrdGjd73ZfSt3+pAClQF/+z5H4VH5l
adCNQL7/JY3fwZhh6wybIgsKWuCfYfA/fT5mEwKgTckRBPaulhlEWrzdSaExE9D7wnT7FymVAPVw
UMjsoru6MzxvWdvFDCrcTfTuXloyG2YC0hk64eOuxgxCa2XLmUDHhSqChhb95u1R7Amo3MumUHPj
Xju4J2xfc0QHGnVmEuuXwuummSBYimjcPH92dCiEDeKW84HoCO4J3amXQjzL7F34xHFJAAnNUpj9
7uR8MLYeBAqQ1JJMMH+/6EaI7VGjZ4O+3WtgtZNDIVi6W84HDdqvjH76S5nhc52B+EowlnAO2tH5
oG9fdrPIoBF+NMxfZZcKzXuBAEVLazcXxQvSaJvjUkSPbJEidHqd9O93BhAMukM5emdRTdpzFWib
QRAG6gwD4M8/T4L3g0BJSlZluhe7GjNoXxEzKIQMEBJfZsLH45IqtErwyJG6o6vh5ezaZiI8IRMs
g8bEhwOSL6+Yms3ovEyRHR0DY+uzQfTpKD2C7Hopv36KFSi6kUOgNvR8r92LHbXtUymLZqUQUSRv
fo0N3+8IaDeqMj3dFzjhDg7C9gekQRaBABuR4S/OBhCvRBBwpnZ1S9C3jho1XbxoAWP8RdRIKoWO
E3EjKL+nz47uDC9Y1G12R4JCyAEU439VdFO+PamEox26o4NgbF9pgipj0aNkB/xwRFBi4gcWvPtd
3Rf1rSMlDgcoQByE2q9A8Dg2ISiEKNCuRkr69oUFKvCaqkIFeNkSPgYLotgoouodLjFtPRPoyKAL
jL0svdrNiYOwNVAVBfHgv78Z/I1j9E+C8tQP4vu5YApjNb+JwfyrX3jl5H7++Rvk2xPf9N1vCqry
882f8XHiv//7PXP5qY725qevdbWnO738/ctX/Hzzdzd7/V6v/3MveCjX5R1CBE/U6JcHPV4ncJv/
J+Zf9+uPuD3RJHr9f5tp1n8WEX5/dbSZH14v9IaTzdH611f9zOH+exdP1vdZ+XqhNxdnC9364hPk
+zc9OMXvra89XcfrlldSvV7rzbMz37e/Prp/1adXSkmbPO8LLp7W5fqPaVbVm27Bwbb1LWYP8R/H
Wblx/DkZtr7+PP5jlpVMntdrvRl/Epatr78oH6pNVrGiXr71xZfxQ5q+XufNg3/Fct1rktssvq8/
X15AOLd+9FWSP5TBOn691F9PLyCB218eKd/Xy7y59Fes2IOHcsOYCwjR1k99EKTeho1AoIC2vvbh
OtqwhwlszRdcuqoeNo3JVyzQw6z6439S7yF+2DQyX7FEj9b3bMCv4/BmtnzFEj1a4+Cw4dpfsUTF
tfNs0+4ugDJbv9ajh/Q+uws27V5C2+QLrl/ePdy/XuivcRfsru0vnvHsr9d5c+2vWKZH2cYx+YpV
yqXrh/Jh2PDkX7FSj9f5hokuUqytB/z4oV1/jh1xMv+KJXpSrtkCXp/yzev8iiV6Gq/vHjbEjqIY
tfWwnMZNsim4E73YrS9+HhA6VsH9hpERvb2tr3+xvitJCdJ6w1kqNAG+4AbpH5MHBEE33eArlurF
WtygTNfl/caNTLQ7vuRbzIIHb9OX+IpVK77EghVwF1R3m+7xFctX3GM/WxfNptNKSGF8ySgdNkH1
x8ltUOWbvsdXLGbxPY7W9cOm63/Feub69fqPybq8XW+KGUSd+CtGintMUd3esFmL8utX3aFsxteL
/bWn6l+ysP31xpxQVA63f3pqGBuH5ksWc1BFuC01r8/5ZmC+ZC1n8XpT9CAawtsPDIFJsmnOfMn6
/b9sSH+jw/e3ajgXosyy4RwWhdath+bywV9vGhoBB9r+4r91adt2XC5/p7+//cUpECWb6nKCRbz1
yHznCs2mtSqwiVtf/UcWb9jnRW9m+0v/WsX590O+qSz7Jy7yc7H2Vd1x05+9r0WL37iLH9blf/8v
AAAA//8=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Gill Sans MT" panose="020B0502020104020203"/>
          </a:endParaRPr>
        </a:p>
      </cx:txPr>
    </cx:legend>
  </cx:chart>
  <cx:spPr>
    <a:solidFill>
      <a:schemeClr val="accent4">
        <a:lumMod val="5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F558-479F-B47F-07C2E7BE88F2}">
          <cx:tx>
            <cx:txData>
              <cx:f>_xlchart.v5.6</cx:f>
              <cx:v>Sum of Amount</cx:v>
            </cx:txData>
          </cx:tx>
          <cx:dataId val="0"/>
          <cx:layoutPr>
            <cx:geography cultureLanguage="en-US" cultureRegion="IN" attribution="Powered by Bing">
              <cx:geoCache provider="{E9337A44-BEBE-4D9F-B70C-5C5E7DAFC167}">
                <cx:binary>3F1rc9s4sv0rqfl86cGDBMCtna0aUpQsvxM7r/nCUmyFb4IE+P71t2k7WevhDF01qrpXmtnaSaSG
WjwAuvt0o/Hv++5f9+l6pd51WZrrf913f/wWVlXxr99/1/fhOlvpkyy6V1LL79XJvcx+l9+/R/fr
3x/Uqo3y4HeCsPn7fbhS1br77T//htGCtbyQ96sqkvn7eq36D2tdp5X+xXt733q3esiifBbpSkX3
Ff7jN3eVRt+lyqPVb5vvEXhPprVevXNlnVf9b+/WeRVV/V1frP/4bWMY8tu737e/bUezdykoX9UP
IEztE4JsQhm20OMLBkhlHjy/bWBCThASlNmm9eNrr1YZSE7X6FGf1cODWmsNP+zx/3fkN34FvPvn
3z6D+/FZjE8/ACD++O1jHlXrh3e31apa69/eRVo+PizVu3L8oR9vH5/M75v4/effW38Bz2rrb15A
vP1g/+6tTRT/DuFVumrWaqUPALI4wTYjmHD+CsjohIlxGphsC+S3KPUKzjtDTIF6R+jI0D5fq/wA
QFsnlFMTWSZ7AhpvrWZsnyAsbEwJ3wR6qj77Md6QngDvxuePDNk/U9geHw6xVfMTgUxBBKP24wsg
3N6qCScmZ7CHPxmIp536DRrth3d7gAkIb4scGciXMq/Wat0fYAmzE8YZ5xQ979V0G2V8wixmMroN
81t02o/zzggTgN6ROTKk/0yLKF8fAGdxwmxqgd9lPq1msYUzbNUcXpbFze3lPFWj/Shv/aIJGG9J
HBnC12qVB4dAmJ5wG5tCsNcQhg3doshmCMz0yw17ukb7Ed6Sn4DwlsSRIfxntnqQ6iBrmIK5RUTA
Et00xQgWLyE2oPvoiG0BPF2h/QBvyU8AeEviyABepOv8EO60fWIRZGGbQFi0iS+BiEpgTq0tX2uy
JvuB3RSfgOumwJHB6tRVdYiNGWDFEOtCmLTf9BJ8YkEIhTHZWreTFdqP7qb4BHQ3BY4MXRd8aDXG
Sbo6RLQkHiNdm1L+CsiwhKkpLI7B83ppfd+q136s944yAfK9ckeG/G2kk6iX9T9vkU18wim2BPkR
I9u7GzcDr9tCDOKql6i/Raf9iO+MMAHtHZkjQ3q2Tt9dSaDODwO1ZYKXBXzW42uHDjGB2jYp0CFb
NvpNSu3HeneICWDvCh0Z2nd1ulIHgJqyE0oRJujZmx7jpQ13DGJlYgshsLW1qqdrtB/nLfkJIG9J
HBnCXvpuJhVEU//8eqbihBObWeSZ3bR3tm6IqewxoLaeyO0t3+xNqu1He3eICYDvCh0Z5ncqgtTa
AahOEwCFRITFLfbKDk5ObPDSMWQnN431G1Taj/T2ABNw3hY5MpTnkJ3ND7Gs2eiRMcvC+Ank7WU9
8pzCgn/wVoJ5ukb7Md6SnwDxlsSRIXxaZ99k+lD981v3uJAFw6a5y5OYJ5hhiiBr9YT+5jp+i0r7
Qd4ZYQLMOzJHBvQyK9YqWqX/PNCUgAkmwjIpfsovbyensHUCwRUsdmBFx9fWvv0WzfbjvTPCBLx3
ZI4N77w/zMYtEAH+kz+zZDsb91hVYjMGfvfmql5O1OcVhF9KT0H35eePDNlzKEA7RD0QxFNQC0RM
03rVJjN4D/jP7TKRqQrtx3bz90wAd1PgyNC9WCWHCJahxAf2Z44g+fT42lPRZ2MLM8G3ir2m6rMf
2w3pCdBufP7okNV6fYCEFDhaJhQMCBuokMfXtv0lUMgHb5uCbS3ci9VUjV5Dd0N+Er4bEseGsNTv
/oSygXR9iP3ZPEEWIVT82J93akPECTEp5J5hmY+vLTfr4m3KvYL4nkGmwL5H7Miw/1p/O0TCyj7B
sLgh2/xakS5kJWHPFlD6telvTdVnP84b0hMA3vj8kSF7uXqACuwDxE3sBOqvoViAP1fZw4LdILBh
34aMlClMDF72y7TUdI32o7slPwHfLYmjQxjYzAMAzE9sbgKTiZ7Z6+0dG45RWBSDWba3gqXL1USF
XsP3pfgkeF8KHCG6hTzIORl+AqsT1q94dr22VzDQmDYzuSDgeD++ttexiqZq9jrSGyNMBHtD5tjw
XucP8j46CG89mmMAkvNnqmsbcEIhvcwZpfaWq335FqVewXpniClg7wgdGdq3q/zdmVyV9aF2cNi/
TWI+L/Cd0ApDjhkoE9t+suFbPvcblduP+75BJiC/T+zIsL9cq3s43ef+4+cf+QlFzGaCPScodgw3
hNwCfHLMzX2h1nS99iO+JT8B7C2JY8NZwob+z8MMdWGmjWygNJ9TzTsFvegE1j4UhOKt4OpyqkKv
4LshPgXeDYGjQ/cgphrYEDgm83MJjwZ5I7oay4OIEBBYb0dXcpo+r2H7QnoStC8+f2TIjiboEk5e
HyIR9eh6cw6npZ486214IbYCeMFbM/fY5MlK7cd493dNAHpX6MjQvloVh2BJYB3bkJWCtNOjqUU7
LhgADeQ2giBsM7qaqs9+jDekJ8C78fljQ3bdrA5yeBm2YEa4oOiZAdvBFkO9PjSZMO2trNTVZI1e
QXdTfgq+mxJHhvBNurpfH+YwHFjYsT7z6cjb7uoFhPlYOUKetvEtWzxdr/04b8lPwHlL4uhwrqG3
zT/vSkPHGJsyDnW6zwV9O+YYQdWmAF+bbhX03aRTNXoN4Q35SQhvSBwZwh8i6Bejo4dDFBHQE1sg
i9LnPiK7FfcQN0M3GSgQ2VrGb1JqP867Q0yAelfoyNC+W4er7ABeF9QUQLUeg4TzKwW6o3tNTQzn
IZ+YsS0ne7pe+9Hekp8A9ZbEkeF8u7pX0EEmrw4RSokTi0PbCROaPT2+dvbukScZ/4HTseNrC+u3
6bYf7z1jTMB8j9TR4Z6/c9Zw0uIQuDPoNEHGQ8+vFPzBiWcTEQQ13Fve9xjKTtfqNcR3xpiE+I7U
ESJ+UUf63fW3SBeHgN2CeJkwCKvEU0ANy3mDGBvLxcDCw0H3LSs+wv5G1V7Hft9AEyfAPtEjnAUO
dINbqYfDJDLhCAY0cMQCjlA+vrYjb8yBdjERxG6bpMrT0n+LYq9PgT0/cOIM2CN5hBNgFq2DQ2wA
cF4DQ1YTzmxsrXwAHTMqYFY8W4Rd7Cfr9Drsm0NMRHxT6NjArlZ5pNNVfYjInEPxL4KeNOy1ym9g
YNBYOMq3ipCgaeobtHoF790xpgC+K3VsiIMpnUOLsftI38sfq+yf6NzL4dAdQhyO3/zk0zaNOzmB
WgZohkH3bOw/NZpCEL0C+Msf9nOYKZjvFTw+2KGtjbNS31YHqSg1R3DHesJXonbIeTJbQNwOrZsf
Xz+m3lNPUDDub1Pv1TmwZ5hpc2CP4FHOAVfVw8/l8VTb+08sfygp5sDKoB8VDdsWfmzcDUlv6Jmx
G9LBo5+q1a9w3xhjMugbUseJOLRBgSd8iFolOPMB57peq1XCJ2MTFEiibTHvT6vdnarWLzHfGGQ6
6Btix4Z6uDpIDzOgZqH7K7jp9LUjIeQEfHgkIMjf2t4na/QK1pvyU2DelDg2hKO1OsiShlaEDFFo
j/DEt+4mTdEJvAmGXuyvOp2s1ys4b8pPwXlT4thwlunqRZHWP2etxxI1SI2Pfb0fXztMHFhr0waQ
dwjYyRq9gvCm/BSENyWODuFcHiKNBu2rTGozqF96rW/7IxfDTDhGsrVXQxHiNI1eQ3hDfhLCGxLH
hvDYNfYQBS5wIoQSAteoPIdcOx43dOYfV/lOCdPtZI1eQXhTfgrCmxJHhvBdDbchZQfpyg/n+ASw
4YDhK/s0Ao+LYCzIVp34W3Taj/LOCBNw3pE5MqQ/gQWuD+J4QXNQcKsoeq098FgzbkOxGkNbXOkb
VNqP8/YAE2DeFjkylL/K9BDJD7hhg0PzIqgX3kp+QLYb3uAYWpNtmuKpiuwHdkN6Aqobn/9/AOmv
Vdz4weNdZ3/+eLZ72K633lIHKUpoyM6A7Ny/LY9sJwbXCzoo7GM7X96s96pP/3S53+49da/dyvf0
E3/9UA5zC93rN9T9vOpvtqpW3uMlgS8uqfv1u4+TGu423BJ9bkewB8SfRfjLhz9+g5J9CiEqWMWf
9w+OA200MwAYnq64+zEzNgXXwKL88RtcOQjNEEYYGTPhbB4bT3W0659vwflL6AgKB7kgtTFegZRD
e+kQLjKE0qaxqAkO8xFMgRiHt7SsH9+Ce1ag3xWkxsZ7DIEyZT/vcbyRaR/I/OeDef7zu7zObmSU
VxoGpmAAiqfPjfpacPyAwlkyBt+ETKhl5qBfcb/6MLbGgufwP3kgmiZthLxGKA1Oi8BfhIEhHEXb
85o3vdvWRF90NZELiga6sLv6Jo/NwaV59k2ZRM60oU/TPrQ8m8L1hUHLqBObYenWoTk4sdGSWVgJ
w+ElG2ZG22U3ZWB/Dq1BuY2i1O3QcC58eqEs81RI25pZRrgo++KzLwLpDqW4HFRfeVwmzSlcXHkW
ZHHpJKZ1NogocwKTXzJifgysonaqSLy3W57MchW9r5BawTLMXWEFn5rMKpw2CgM373jjJs1wyXL+
ufMT7WJKv9ip/My65txO8EXL0zvDyi4r0RauasOPufKRY+DsNPfbcz6YH/I8nuPA+Eqizg3KYF6h
krtaFRcFl1/gxrMrGmaxE1rdoums3IFJsapSoZ28S0PH4JUXsSF0cJemM6o65vR+2XtC5LXXNE3v
+HF2rdqOOHlAT2VIIqdr66s2bWonGFq8sJJqHrPyQ5c0sWslOHcNMtxQn92TqrhL6n7eCpw5NMhv
OpPN+zBbRiSrHJ/rG1bzj2HpB15h9l9YpCMnaq1iBltR4qZ5JOc06vUsJ3xRqeG96nI+x2F61uF0
HQ5Z6YiKfGShwq5Kie8yaV/HDSdXqc9POxHclldmuGR17KBWnLM+jl3wW+YRb6RjlpEXVUPsVbRq
FqoWX0LGAqcuc+KkMlrgLM+dJJP3CWdyFld97JASz1PBZz0KvL7qT6O+iZ0si78pRddQ071uJQpO
g9K8Cliw7JoycHrUZF7cp+YnaiVohnpBHO5HcE9BeZZZbJla+NKqw7kSQTLHaaS8vuuISwLWL0Rd
SO7kVl15bWO8j4r2wR6SVrkWimIXqXIxlKZ2eFWemUZJ3NIsTm0mQ0cSP3ZywcUM4uVTYgT5Qqpu
ldjmXYTkrNGZhyrkBjB1YR7ZnyVtqBuWVXNbmrj0IjvovITXPUyEkLt4qLFXpUXsUCv9YDfBjBGf
OjQKl7nNLvxGYydLVDxLgxjWBU9rT8QFntNSEgcOB6O5kdLURdFQn/ckf+8b4T0NWvN95WcfhDKR
0zGqloWG3xJWbesaQ+1pU6ZOgIZrKWGlxFnXOTQsbnxuXYQZQrMCxabDYniAOfurqvCZlu8j0ywc
pcSNEJm/7Ji86vy0dZqqPbOJfDB1WjhlH68yMys8nuhkZnRGMisGmB+tVRKYElYwCwdjQXs3Hv4i
AX1o1EUcL7VsvUiWvVv6MA2azF/1w9A4pC8v/SHBTk6N264wT3McGk5fhp+MIFknNSwZkkuY24U1
13a5zIyscGxK6KxJ07sy97/bjWzdoIN5R1O+MOHqWM/shtIxiqFymqDMLwzSWZc4z+6MKCuvuqY3
YM7z2OP24M+6oTHc2velGygknbBtLhuVCEfzPHZSO7oNFcxmywzwUqVx6Jk+IN75GXGSfngv/YI5
eKDY0VkzuEVvfKClqmcIvskJh9J3jIa1bp4k/rzpq3gmy8o8DQGvxgzPkh7Gqmn5PjPpeSr1LfLR
nW9FcoZJc+ZDxaRHh6GLHC2Viq+LDqsviW3p1mM6Z7Gr6/i8rpt4cKuGZmQetX4+K+NIfxV2EJoX
Ly+c3TA097LoVRSEz3cG//zjf+5kBv8+3kD7378crxz+758WazlmcPX2h0af4Oen/nuL7WiDf15p
u2XZn+4tfsXs//LN132Cl5bdgtKiv3EHft53/OSVPdrXR6kfvgCG6rWxDxqCWxws6BINA/70BSAF
Pp4mg5oXMZp1MMPPvoAJZCoezwOj0R2ECyLAgv/wBcY+PDAglE4ISKvAVahv8QXwaOo3XAEbquKh
lSIDXpdC7wiINF66AtVAZVHWdXeVt9T2mtYPC0fSmCduwtvmPTOs/izumjzxEEqqr5U0m4+JqbvS
0XZefn7x9PZ4JmNzzm1toI4POnuCrwMXhY7RzUttzLwvEjusmytS5vgqSIbcd2ouWeh2TSVtp2nN
+itvCiNyVCaq0i1jlQSOP2huunC4K3+wqwpdwxhhPSNpij8OliHwomeWv8a9gbv5rzUmQH3uaAzX
XUJDQ9vi0CUabWkc8RCw7asr2lkBbNvdkH5sgCen84r30nKavsPxLOK+cAbO+sjpE0QXWaN6PFON
rB7CTmvsRkZhzTRc2N04VRaixuHKSgIvkHF4k9T2WabtUM+AuLU/6bA8T9LW6rxIG+wyUmGTLX79
q3ZhgGNuCBolw9UjUGT3+KNf+Ie8N4LWKFJ9lVe+/UkGAsPGnRCYGkVedzdtp+zbwsfpl19/7TjX
Xs5FaFEBdxlxCtc4QxcqQke1XnythbrALHSQX+ViwFc4CeurXCs3En746dfftO0Aj99kQ7k4hz6T
0BpDbM2zIjf7oVShvBIFMldlK1W68CvRw6ZdhB4q6xScXXAkpBtTq83+btKMk2Lzh8JEgc7EJlxX
Dc3Ft78ecizgluZZdMXLxFplcW2tknTUwRoy7TElJTg1AP2iTcuWOGUi+bpKbb1s7d68GE05cmkb
y8SNeZ59pKoAexeKvl8XRlPMkDFk3LVsaapTi7Khdn799Ma+9tv683HbgGAEbusFhmITKMRqK7cs
37jEtZ+tIlXpwMFGUuWmQ/s+D87aMEq+BcIuLsDShnMmzS5yCW7494oPg3T7MOCuKeNmHSnKHxqr
CPnZr5U0rR2QqQl2Hk6LjHduwOqEyO7ldGJKREiFFb2MzbLwbTGr7HBYdFVH7XnV1LWruhK9b7Le
qp0wBC9M4XyhiSoWqVkQN0nL7EORWlnn8LQNPrdxJpe9riqnsMriI9OJmPngYLi1jGPwqSsat+DH
6/yqLQx9XRoD9YIA2+D/DX6euaQJs1OLVekHEgc3QZ/TzklrXl5VfnlXkcygM9YQeJBRT2BvMOth
GF3q+CINLfHVR7V5FjKBL4aga2y3RaGZwQ33fbQ0hOozp+3FMMOtZcyGuLsvdFnd1sjgodNmFZ/7
uqyXpk/IXRniNln43MCRM4SJ/w2qNVTjRHlp/FVnPJsVhSbLRObFEpd2+hA1BYN1T7PkNrL9jjtN
aQZnyle128NzWGCIMK/LNus8s1XlHOMON14Kl5YFbtMGonQbEvpepqma1YV9HfpGgGYYy+oUTA0B
1wfFbHS30i9dhsJzouzi1qKVtajt2CBzzbJhJZhUnkZdPMybRARzo+vQiui0/a4DcPzcgVSohtCJ
NMG8q2IJi6NtvT5oajFX0g9naUUhlIOPOtACTUl40FnDnVjHseFyv+UOl1Y3OGaV+i6tjDxbKJZ4
gVn36H1LsTmLtEKpE8NMqua0am296CjvLlgyDKn/vm7LKsucPkr7XD2EfkjI8FW3Rsez0LEVbOXy
noAvV1EFF+bVdYGuqqTKku7Mjsph0dh15S8zFUXghpNU3iJu0GXcU1q7NWDgg7+L7A7gyoSY5b4P
9rBKk7b0WNIGCOKyCvvXYYkYl6dJz9tw1nepXV0wXVGYUa0vsW7dGmzhnBlh7F83sHRY4JaiEDDh
aKKzeQ6Bke2kJRgv3+uaiLmGD2yWBQEKyk24A8/PMje069aftylPM0/74BXMrTzIBlcMFuyYOUnM
2s1CZaROo/tA3+jIyDJPBpH4btQNjyA6k6RaRKaoxZVl+IF/llNecSuGIF2XQ3+qocukCr0iCHnm
+boZyrmtdB7N+5Rl/SnSOitci/Rp5PLO6tOFisrIcAFW8tkosgHP4Ehoks3gf8i4TmNkaHjkef45
zjI7W1JlV6mXhBX7MNQVpfPYkASfh20I/rzDQxJWC181RX4LxpiexcFAknldgAaerNJg8ATuBtsV
cV+0l5noYWobsFTUzMe4PlPUstJZ4NOgnvG8ATgjrsE/yYeYDus0gfTrTIAC2Yz2WVguMYrM0yDi
CXNJkpR0FsnInw21n1iO0arCvon9NjZdGpXx4GRFPBjnyE/NOS78wAJ1bV54uA8HuQwj3AYehJ9h
64yfc7Ad2TlMn4CWbtdGxuBUXWT8paAZPcQ3EawjcoWHPBoiRzSmQe/6tCX1FSvsXs5yu6wgZs7B
JAWaJyBgZxSelh+FOP864DQPz8o+S7u5bq0hOsdVUN2ZMbFWFoQ+viMwTN55DcQL9TQbIlC+xnE2
S2kJ7ItofS/CUfk1bVvwLOIgbm61xdpvhQrpacPbwPdEYiFgQ4AlonMrlXE3z1WDr4auoOZ7XVn4
DlcGfKJlhhZuhXveeQ3J4uhUdYS0y5wHmlxHBrc/5agcJ2ccl3rBUx3qm643K+GisgVswjYHxaSG
TfccLJj9iQoEszuDXVLNoK9WJ5eVtn1yE6s6ST4QkdvmsjPjtr6sump0PsO+u7ESg3WebDP4ainH
wLUD+mVYoISPP35UvYX9CfQqMnxlWjn8irq04FGFiUwG104aWDpFGiTR+1xxWPKqBq8ggPdgTyVV
Hl6X2OxV7tAiRAB3q7r6MjPCQjsRqstu3sF17NTrm5KMmwYsJhd+EWwgnY1HP7nKs08+3Fx1Jpoo
Eo4IrQTmRR+wVZtTUKNTcf+BVh3S5wG4ufG5LPIkvhVgLRY6R/iqtIPyKxzBYxC3mmFEzqQI7Prc
D2XQzHrFyxYc3J4uCgKP1UW87O+TNLFuulojeVqivkk+tywL9GnmG9n3frDHPSQq03AGcYCgXkT6
UM8LltmfDeRn86wtgtLhJmxzPVByHyJZ6XM7S2KgC4kiAWx7cLue04TE/qRiowm8lOSwTAbDp/bS
zCUu1xlsyP0ZXIMLa6Mdd2wvtgx4ol0zNB4YmbY8x6omzPXttGrA0tIGgetdxn8pu7HvjB7c9LPB
rhR+qHTeayfDmDfLqCUwVJfhcHDNdiSiCoAFWJXEZvNBNk112fU8vY0bDfQZ16dm1jXW6dAyACdB
WA+LIk2kvMxZZ14YFTKlF5Z51pwHfVuEQF/qLLwDT0Q/IDuHbQS2Tt04Sahb7dhtI0qwAn15mwYl
jr5gOVDROAN4YP3HoqKGDYNpX3khN5LgzPCL9lsYIKNxU65ZsoxshN932vAHoORKDRTdUMMkjUgV
05suSQfrKmNFmjpl0SB2aeLQ7NwevBvttWEBqLUijwJHDTyDvUPr1MMd7RQQLkSoxSBKmP2J2QVA
4vk90q5faFZ+bq0e38WhgrkGls7+BHM90ze5nWPYYElhx3ORhax1uvorETWwmU6SNPyjRfKynbVW
UJmXpp+K5kPpaxsovABmtFdEFNCEwKHvLiJaJfKCqyKkN6RDKVv6nbThd3WdEVwmyijaWaZ92DPA
G6uryzT1QX9lJ8FchyIJZ22H0LIvTVj3PWM8ckyg5i4fvdLnfMbNk5P/RMa/5DJeUhtTOJLL6F5J
Lb9X2yTJxkD/x5mUfdkVCLRez648XfH9koB5zsmA1A86ZUytQIclYkEvW7jHB0PZ6E86BQ4HQZKE
jR1uKSYQtPw3swKN0xBcwDjexAYh5gs2BcraMDTNhEgQEiJwGIG/hU2hj+H+y8gOmrhBhg/CWGDP
4VKwsRbuZcwhC2tIrN7X1yildwkwdkRb55mp3ycdkLvtSOoFCFxybJ7GfR/PspH480cKsOpq30Fl
AVte39YzMNIfkDkMblhw7LRmxRw9YMhwlBCK2zBWzmXopUACL+1AEacI01s1UpJDLoWDZXdplEBX
ZnlcuO1IYRqd5c/A1Yq9tCGGo6q2vELAeXLolHLJmyG/iAmpHMlI6QS+DjwysqXaDsA9AAKVhWHg
DCq/C3NBZ+nIsiKllyXQrr6oAk8nYMm5ma0h3vsEvrLhpMQ6lUDaGiN765f6chjN4mAF34ALi53S
qntXAembq2WML/BIBIcrRd3KDk6l9INZ29QQ+47MMe+TdJanXTIjgy68AgjmdpCF01XqoQbqGVdF
69gIfpBq/KUGero3eOH0uWcMFzUw150p/rKAyZYjpW33FprZwHKrQN1EI+1tNgJYrw5fJ0yNlHjt
YYEAEsq1UwWBXvKRQgcP+AMZSXUb2PUOWHadCzCAI/Ee4RDPyUjGa94ALc9U7RW+rLx0JO39pMWO
QuKCAJ/f15HpWCqcxSKHdI6GvMlI/pcUQnah+x7ofIilGBhQLxjTBUGFqOtDBiEwZOzIqFiUKD7T
Cb8z7WGFx8RD1idOhSovbkJ7JkmYQLimQqeAXEWLGuIyyF7AfSsa8CsXNs1iN/Fxjm4Ks8pvhQ+J
LKG0UyTyejDVfSRbuSSNcQMTfGXLSDoqDvKzMMFfVNlcKogBZoYwgdRq6RqyVOuG9/1cVx0w/1r4
p+CWf8tgiToSVHGTiCXAO9e3Fgn0eSbQWRPHX4vBPh9KPLiWDBeyNS7Kvi8cjSBxVAU+dmTit47S
+qqKB1g+zV0Y+N/KkIvTnEIgFBvZrT/QEJys+nNJ+TIpq+BUWPIMLm1OHdmzbC50vmSB9VGFKDxr
qpw5STzcwpjtRdlYDfhFUnpVwJT76AM3CoIZbI/gdZCaQMxnM+ybn7WMIWk51LWjdZ6faVJ3bmdw
7oR9VDqpTit36LT8EiA/OM3DUN3EzLKdlpazLu/xXNTZJ0GG2AmqENyOGBIBREYAUJF7fhpDFiZK
IljtFVnqaMwrxSycKVIv0SDQshThkmM/XTDQxSkZ7R3YFitHgOnUcTU4ssxPzao8jQ02iyUkNOK4
isGPNDCsNLNywUXunN4M+cwO9KwyMQQ58B+Gad3Ege1I3XzEXXxuqfpM0v7KNtVtwyHpOOhsERp+
4uSZPzh5gq+arv4YSUhtQt73JjPr90nQfhJJd6mz4Yv2wRNLgKJ1Mhl/AhrjzOzQaa/1XSUYcso6
Rw6Skjp22l0kuvQ4UnKe9ZAgJaq79BV9n+R96nUt9jgpzkhd506v6++m5f8VBfgauKIroLZuypiX
rmj0N9+3OqdOhi9pqClklYTwwI//S2cc7Dvk1JyKFHcyNM87o5Bek8KsAS6zTz7ROrZOI5PlkNce
EyihhCh8TKkcxND//zPhYzHB6yZ8q+3Cri0fxX/Ycqh5MTnUm463AQlbmMCtv7DlY48XqDUHuw1m
Fri7H8bcghv8QAaatEEkBvkUkPqRGjFPgOMfW0VgZAvgrcVbjPkOsw+pFbjU0x7baWMMzYU2Tbki
1NLgTQTXQRrAoj2PzPBveFRoQARj/NddENCKW0AxJpx3FmO659ExeekuZFgiu0j7DlIdfJmHtT2H
4DVWc551l+BTsxZohF4vBkiCe8woVOzgSli3kPOHCSsqm11yxYEXzgO/vKyVAXRbVlNWXjJmIGDk
dN0HM1RgPni6RZ4sWlScJiFwMsow0aLrgH1SMiBeC5VmCxWapQd52HhBWYGcvGE3wC8HiwK4lFkt
A7WIjCAlXqBkbCzyDGzwba6G8DswW82c4sgfYrBhyPDstDdJ7NpQAYE8XJgZ9oCuRPS2yosE9qey
K99XHWgB9Nd8MDDQHV34hRbAxHShcsB9gHoPO1nSplw0nF20NcOQhDeu6rD5ZCX0rrT1rUqGiyBv
PjEryx3BSukkkXlRKhOIu/IiDOMlDoJkCQFeNIP873mLU0egTEDSVy5Q1MGW5AMHKvszZaGvRRz3
bppyBhtVea0iFp/aeXhRd+hbyJL+PCwoUNY+1LeIFK/DVKaz3ra9XrLYqeyIQFkKzeZV11mLnPrD
OZSznDe+seiy5LQyouB/2Tuz5shtbFv/Ip4gCRIEHg+HHCWlpiqV9MKoQQLAAZwADvj1Z6Xddpft
233CEfflxm0/2VHOykwmCey91rc29m0Tjzn6lUy4vhgWddsuMSlKEqHekv3eufFYjupRxkOzr3Ss
c+HVx9F1ZSqm4KindSxG2T4BJjpLsi6pt/n0O7rqKdtGsWTozHcrmqp0DVQRRUakHtN5i3po7Yfb
JdIqDSqJywrlI2YMVIWo4qc42rqUrJE9YHeLU13yMG9LbBz+Zm4HirpR8PE41+u27xr/PaL2R9DG
bD9CjTsT3kLpk3WsHnrN2jxYIxVnQd2mKI+9E6+rYD8x/3vtyaOj3p0Jkk9GevtGlpB8t7Eoa5ZZ
Akm7ZQ+z1jtehXk1lsUUeFlLl/qwNOGeLSbMB4ILH+sE+uD8EjhsND04Apy2/ebofNv5hqRqXE9x
4987/KVzoKHOydRFwd72HrTi4N3z1mMXuRtSegeefF7Lt465U9I6tosrUYxJ/GlwQSrn9dtsa4iG
zJyjtr6B2HgvyirISFjTtKz5ayPC12uSIh+X4IZHWmRLdBnkYWsjmUlnSRqjK02k98zW6VNUz8Uq
6jWPpbiP5j5MfYUyr53V2XT1Ea5ik7o5+Nx78hlUxSfsVyjil10i+g/IDKeBeyfo3S6dKnoaKr5v
aGOvqkJOugCivo3MY7RUJ3y/c1z5b8R6VbqRRqW8G+UuJH1110ZrfVi9NnztFpZ8mVinRqg/W/mp
NWX9uAITSte1CYoIwn7qKSPzwavrvGqMyKTZbDqEnp8veCxu5j5WdzZy3pY2KLenzPb0+oRhjEeX
DtzMBRtK9s1RBtAjpp+9KaTFPNE76P0lap4eFmfEJ9zMpIY9apvzxjyRiTB+NL4/pmRYhlzMPbqY
oDrP3fbU9vWSVgsK/hn24A4i5xdKnyr88vlgPZcn66RPjDT0tuwlLrbrVVrT7lskqiqlwybxyMEx
ieJnX/Q1ruNW78Umbqo2cPBjy4fadN/syrOqrHJWoQEqPf+ppPiVSf822bpwXXWYK/ORjMuliV21
EyWqbLI0r2Fld5Imb1dR1bIJzVkwtClU2z6FYsTSKtlupjLOt01lVZMU1RD+aKlZ9/0Q55WeX2dS
7lGp9alT9m0y0a4f8TPXyy4sk5dAT58hw77EQdemfK2e1ma70Xw5mCHAA75UL0JukKPwiK7r7Vy2
e9GWGusnfTTGXeKJvq4yvuugIbNoflkA4AULquTEzTsI/Vgs/DHDr1FoWr+5QUFdqug+quI4XZtB
pYapo5hWWUii4YXG9Clw+NWmJqhToZPnYVYnQ6jJJuW/Yic4D2VX4/7R90o5c+gq8RJvQ5LCYjrE
LSmw3OSeXW+JxrdvZXLDbHKAg48OLn7l/ZyXMAd7Vl9IzA51G6HoLtu0DeuvHvPyeFHAAd2CerL8
6pv6hGudK7fqFO78CWbNw9T7+JjRdILufxhj+lb6/XHeGjg78xNq1Jyx2O0m1P5pq+S9H60fpb/A
43D6zY8qkoZO3fK42Q/w5FptXF7r7jCLeTgw3m43QUBytMk3dlRvtOzO/kiArIWd2enWR9sSRcs9
Rk7KlI2CFDUbv2hfwq/y2cXnS5cuehjOU5CIzMi13cWUflfopfPBF96Xpae4XyCuF5vflymJVPNj
NSrJQwJlLF+28BY2RfnxU332D0HqZxr0j17utQThiH1htDGJCWdw+/9Y5gR1HLStLr27qvpE6881
/xbF/wtO8L+9xbXS+snX33AX09riLfwB7W1ysf1lre7//de4Cit/rKSuXwNDIFEbEgpC5o/vEYZ2
axeuxMVfsMsnF2du1vXZ8/J//zZXZ/vPbwNVGQIUAWKa+H9CFMBjbCSpZ3GxrSuGSqIwxHM4fLLR
/TIHKZ3GdIt/dbL/b2uG/6+1Etc776eL/xfW+r8bUGI/vv65hfj1Zb+1ENexf9ejTxgMPhaRBLfe
7y0EouUJQKlf+4c/6IHISCGrivGvUXSFqa9S4W8tBEb143BwnFKIo7AwRTIM/04LAfH/D/cLSGuU
IHi24DDAgMSBtn9qItgqBm6ZtJdKmf7EGh7djno9M90MWWzHz7TFw1+Z+qC7pHHvspsG78GiPNgG
pzKYjc0Dl71OTb09GBGduqntdkMDhjdAU5AmdeDtVTNHadTLnahneYQVDey0h1wAs0DIjM+D3rVJ
39inTfSvXKLg86D5oZxegbj24RSd5tVzp7jXqyyzjW3qZJs630IUSsYbPwTXDoCSX+63oAMqEdT8
2Fgxf+45Y+cQAs8tIxokgHrqLQjSgrWbv+sDpvJ5RNWQzFznHXGQDRvUySHFvjMG/FwnoykGEWSx
Cc0uXvs7Fss5nUnHd3Pj1tQrDQxGqZfDuEx3wTTxzOjhdVzEzRYshfS3PJzCWz8S58UZtPwVgHAF
YyStGAPEPtlC4xeGnOkBmh2N+CiXjr5trprL3RAPMgUhAfNaTsGBj/ZR1uSJVb62x55KzzyoQA8H
MA6ZHiQ9DPE26SdqfD6m0pbJnJKkjPYkWFBLx2X8UZd2OUKAsnsLnjN3rb7fqumORv1JN/Ju8MMz
M96um5aT19K8czAeBmzWwDNj1f9YdPioDH/95Zn5/33xwJOFh/Zf6xDXZNKfV45fX/PTyhFDXbge
WAkBIoqxYfy0ckBFA5kZJdBZ8a//FB/Yf/EQxxcnECAQrcNO8M+Vg/0XCZD2QEPPIWjACPg7KwcS
An9ZORjAUMAKWKdCBhbvjxuaGZdKN2G1XnpTemnPTJ6U45UTklkVbiZ3ge6e1Rw0lxDsydNky/Hg
+YE9WFcGWWDXVPCuNOkQkTsC9wN4eQsbL6neCQrnzGCW6lkO8zcQHRDKtm4q6qFZ77kQfYaCIMm4
LbvnaILi69skhTOez0p2l1YMQ7rAzH4MRKL3FmPWCzGXQT4FwSfwF82haYjdVxxWcGyPZGPPYrDj
DpZ5CO6mV5dGrW0WUf7m+XQ58IV91i5Un4Zo6W5luOmdcdzCS9VrFuASXFTAStjbhh8GkOoXsYQU
kCRvD0ufcBDxhB96DelTiORLN8EJiPqqSRGQubHDtq+597rEQZCazma8A2kSy/4Emgr4vfCLUMwn
eIPoM9hnXM1bOA9wNkx3dUJsC+VTvsVz9HWlEBAhjL+IoX4ZY90UvRTAvYR6MoDegZZ7NCU6SDIq
xKF2KBg92r4TIZt01fRER0Q6jNM25XFV7YwXi50sF4gssXvFDw2thPZPnVfeRc32jTl1IOiU8E3I
j3Kb7r1Jzzc1YyN8G+dDPWB3BAZ66kp3F3f4SU2/5sO23Nct+RaS8cUt9XcYv2PaSWDkzXqhIHvT
pA9MGgh/QusQHq+HvWaNXad8EfwCTcBkYRsd6ERvurVlRZeQMo0D+doL94DA8bkagJN5K+ASkD88
xf2xZpQNNbuQza/IN0gQ8XZMzFQXiRRnD2JJC6huFDmkDwQPkvjdm+AGWBYBF9x21JVotXgV3/pz
A19AjWkSw8IK2+AGWz3w+hlLa+kHMhcxU/strtFbBmDvPRc+jjFU/JmNOotE/X0I+yjdpNoK1W62
6Cq+A7CM9q92uMhqKo/eBiZCIDuDTpAlmY87lYj+sdF6xZ0NpoPxqwnS+s9allNaRtEh6PSajjG4
voTTNg/LJXORDwZjK9+3LTwoj8XHOo6fR1O+hVqbLKlJBvT0Lpri5oiOk6btYoEUwI0GphddEoPt
d2WjyfpAQbAZo6cZIEBWmvjGVwgfcb3xzPfi09hYdQq27jxETXAcOoVfyfCsIV8mwF7eInaLS9Zd
tKi9GUZVZ7wd99NW96nYZM6G5pts4h3rejzqeEz6PllxYdu3Xk6nNVn6Y+0hvNKoILjIpSd5aT35
WKlBnHTEIH+w8m4evC6tOC3CDT56o2fc5zO0trJfHzYQZShS+hockGOpDcPy4CO7ULCpi/abKHnu
e8N07Ad9FtJPYNhbcpqocNAwULRE3QA9cuhBmPNx5+rt5PniS++1MO8rZKyw+tVHT0U8k3V/8sg1
wgEsiFb965BU4mPSbc4lHuOHpKreXeUMaCFOzPirRvuf/dMHlPyv98//bnql3/+6g15f9dsOCvke
J84RzF++Hovzi0b/+w76i0sf459f8wso9H+T77GDghQjOJoBK8ofU47YQUOKCTM4eANN6TUP8Vu0
4x997L9LOWJM5J93UBbizsYHZAE+Z3CNWv7cdooxWaqKsObiBcOrUAaAkm2+BVt8bBA8SyvqEOCz
RRK3qT8nO0fEDd+Gu4W1gLqWFlkiBSnHCi8bExvuROzv/I48LWoOC5ZgN5nFduObMqcepCkVmM+K
hX3WBM3NVcTNZm88NPX0taUrMm9B9KMM1ZThFofYFa/nlc0/ahvAzqpRyKKLKeg2x2mwaVf41mvy
sY3XHCwMVhWLDTGC3puZTm873W334RbHeSias11jkoKG+UJANueAlH50Pj0Beu/zYdVYDeapTlsB
TRLKJKgBfu948DKXTqBKVjXIZ29JmwR6cUUrlTkBgbJtRYkI3ZEIs9sSKNADMKE0XNbPTopbk+hz
X/Znie8ErxWrdhuGj4uq8xlxt6LW4W0ZhM/l1hjU8dhEUeJA85tmkNM1YqZRRA4tgR5Wsv6FxaOX
UR+rg8jieVDiyYRV/wY27/PmouVs2HTpiZn2TYDGvhrGt1UAwNL1vu0XmkY2RsxwwaJqSRmmsmS3
UoSfyQBT0Krl4tGIFnVtXR7GThSOg30TI/f2XmcfiSd/xE3Z7cEBomKq63NHv5r1KxDIXdTTr9NG
ur0d/X1jwUOM/dJ2n3kg9VPjN339roT7sazy0RF478kvQcJ6lIx9HYPqrsT9ffSN9g+rCbtLOJb8
ErXldNp4mUUcncmS0IMZkXXzpa8yGfHtjlQO2JHq2mUPgvpl0fB/VCtvydq9g6oKD34n+JCOlEn3
n3XuV3jo2nL/63Xu90NX/rrUXV/4+1KHpBbBIgJvEXLDzyoDxlAj/oPpZ8iTILSCZPbvK10EUolD
gaAYcIlC/pr8+k1lIJh9el3+cF4B6mPoDX9npePofH4SpWIMTI4oFk54oRQyHvmzhCdDDaDBkvB2
7IahT268xttQd2KuxATjjkdVfeE2JHUuaRmgQ16s2wXbFiTpZlR8YbidL7YbPHBJq3eMAafe2trb
8iWc9Lktefu0Eb1c7Br1N9fjH76D9l1OYbvUT1GwjGeY80CNzZq8Y4WLDl2Eej2oxhgF52C6N4mJ
CBw5R17DMEFNy5t9HQZL7hodf5tnGnx4RLnHcKIKFbrUXQpwoklhGaeup+AowgoBS79qMyWT+r5t
bfkcVlw+wtlp5JNfISmF9SEJBnd0vURNORJE59Y8gHkZ4g2tfyWJZmw4wG62hXXbV7gu88M4Bgwl
eDeGEYRnOvt3lPZV0cbArT95lcPGMMx1kmQrqNcxXUZQ22k8b8NbbS05RnNrCod5S3mC7mPsAZqa
fsgDHcvcn0cen2dwOF/LSlEsqRKAC8xuJGW8YaZbtilNCBSVqTpuMBAA7iBl7oJpTg7hHAd5l1Tf
TdXIU09L4m7jajBHNjA1P7qKBbsNTYhDohg3JkB0+K3a+1W1/U/l46MQ+NcrAow9838qfPCi31YD
iI44N/06nNi/jtOieOZ/L3wQ3LyifziLIMGDeJ1a/1ukE6cUxQFcwevkBfye9Kfl4Dqp5xelMI4J
TmsH0vA3Ch9MkvjTehBfY3QUAdHrzIgIEbM/Fj5zv06IZUhymdbIz9w6H5ctwo1ZEYK9Y9h1JLRo
JLeXJIQoN4noOx6YGwM6Jo+v5HW1QtcyozwbhO1T7etbr4Ixx1xv83Wa79aRTnnExy7rOvtt4/pV
KqT12+axjqq93swpJOHj0INSrAZ4hxwiIxS/8Ea3CDYIL/k01bzLGt4aMNHlJ7hrLzECHyDGHDrK
tb3EglyChRZ86E5JM6DHcuTo5nLMbB3C3pXrHuHQImT9B4TPR7uI+AQGYo/U8jemtpRP7vMKqTSt
QwSxYdzWKY1anZO+zPwVpVvSy89LYN9q5KzRYchDaDud9lOCYkaSMTUgxjLVk7u6HU5NHRE8/ePH
MMsgXb0OzFfDLqodwVaK4VLFc39aWwOQWYFbTFp4YLUcRcZ9Ud5NtPNzQHOOQotxHyyc67s5Sr47
hYvbl618CIFJp3Ia3yXExduqa44x94Axhf22l3pilwmKCVL/C341TNhIRwFXtm7BAADMkymgMrpX
M4pMOoIyj9ZEPPiCBHvXVyIdhGqAgRLE3xc4UKolovC3pjoQsjaFp1S4r+Q17ugQ3qMr4HqAWmD0
oegE64baJ5rULoIhhVaTNMXYmnBvOtIWmlQ3EEjPzlSXWgdHswmXq5Z9gAKh8D3bqPAmRfLNblUR
lAmkGCuawq8kw4UINiiyA9+bCsH8ah3tnodA3FsxIr+IcMgj6iO2t30sCwhx1cH3yzLH1BKSToR4
Dw2OjElbh286rJSmCrNOdkx4JquwvqdbJ/rCQ+QEDHmtTjGgv70I5fMWTvfW+rqQHtvSzvTfumZC
gEJSWIADj049R90ogmtM110vkQr12zLF1SeNfE06Sa4Pm0UmOVxFlzalDiCbgIuVvSvBmSe4xqNn
D2xBFSeXCBhvYtWPulUJVN6kLGbRegffVDsbN0VZanCCIO3TlmvY3sBHUmCVNvWqheVj3zYZnSv6
4IL1oVrtI13aupjCKlBZEzZ3SOiZA0IcH0a7byaY5c702Nwb3oy3CkB+Bnwob8aBHum2lDfUS+Y9
K3X0GHr2s+Kd8XLf2BWjX8IV6piy/fcFnypxXo1ICwS0iclh76ntOfCWYLdKQTN/5ifdws5fli1I
+WzhA0xb2iPTiUCaKJTW3glg0UER8mkGoJjBgXhuh+qUVPp+SabM85LbKX4rk/BsOzp/Adj7vlB4
dZHnpRqFc84Wu9xYpLEOnJsKVAd6FFH7NyHeTfbyPM/RBySnEDMzmlt/ges6g+ZwDNlTVUGJMFP7
Y0qwzSKvdoRd94C0/o2NFcKScia5blm3r1WAgM4s43zdujWdFXjOEf+7ntC/JROJd9uGnxBO/sV6
4qkBK+J39rWPsDwwHzZ1Uo9ntQRf15pSoM8EWcepE7vABnBBCAK70VjM1QQi2mEqSwMRdWLLi6UA
jxMvuudrwtKuTfSRxTH+T+NjzEPdzFlvurOt/ANyDjqbo3JXXWEkxc2WVsiyQXzjuVnH96mkNSoR
lSNqSF9hPLRxAa3qVofmexcBJbPxF8Qb4qNqg7Qa3TeEMhE97NYDvnSzkyHikoAf8oYmd7LCKsM7
DyTmkkEt7dK5Cw7eQA8bQIwqVAiwquXhqqc24QQWWTXfDOOHRJO7QPR7Lxr2ApFD/KYZEBL8d/xV
MqXABNiPSSX3yDCbAhzH0YCPKWzSZF5UPyAm5mEvsFC0AFeZ5qHlXh4o+dwg9y6pPiS20blt1XOj
TIaMzgg6aUrSdnOHEjFY1WTMn1aMIQhB5vjvpdXbtfDzNjBH4cRAdtdNJqh+9NU4Fr+UBP+pjXx4
8/+6NkKe2E5f/9oqXV/1U3EEPtMPMEwCOfZra/NzcYRMhI/+CcmIX7zV34ojHMmKfhh/hPREDH7z
erzLb73S1XJBKYWxAPhLkd7gf6c4Cq9TtP7QLKE48gO4PnB3r+OK2fXPf4IR1qUUyOqV0aV2fbKB
S+sgmc+SmPKCHBhpWxQ7Xnhg5fU+tfJpi0QEmijqMSEJSm5QUpUill8Xlpson+LWP/hLjXVrJahO
5u5rsDmRYcH56oZpzVuCuQ3jRM8NjBPMtqnuqwHhJ1Gaom+nKJ0ZAlhsc1gzOaoqCEIlMsr1nC5e
OxdyNA26NnO2uueg6tTLHNAHRfSeNu2YdWuuZ7dXA7St2W99IO7dgwOX3dHuiFk/caqaDtlSA76K
IxKG1dR95dX4QOngHyxWcgDZ4X3om+YWRFe3Q+pSQ+ZuOgSehw9Siq+2gv7UeklhtnfMpwLIFA/F
7BFo+q2+XcPopdcC6D4GZx0iiLLZSKBi1z0YGNJB7HGMgzma1zNxqirC0b1DWd7Zbj4HfNkHULBx
sNx+IuDBkMvG7gZrCuJKNs7k3eDRrhfw59wHmENuNB59FyOtbUUJDzYx2YzlgV3XiabpDy0WjrWr
nhssJMboh370zxILDGJeCAvG7cOMn9Re1yB/VaPeGy9gO0b7UxC33/QkEeNIyhvscTeI7sJVwP5O
gZWF40Owov55q0aAf8VEOqEfPGe2ft8GWHOEX/tf4CmDKaJz/T2MCTbLcUGezn7nk9wlIQcgyPDH
yi7vqHymrAKBBABwPZhN3kW6ZAWGpG27wciPxcNCV7Htlfr82bj1IZiDNzLCsercq5ornlFgyUUi
oh8qXE+LL7a3Rg51Cr4AfCrB7LMZcf7YRyYgHh+QazwkI/NuMGjgeVP4WgABAJwKdinXCYSBdGDs
49xKgw2lprwwdPMPLvkIqi5CStd8ng0imm0fhXmDyHAtYOzFnsIEAMxS6IMYMuU8Zl4nv4t6cPCT
NrdjwN9QiYl96E2vaukOHR6bTDO4KYhMo16YHKIXECcDxBHXJSoRQPHut9L7Mhr/RHsSYN+pPsWl
FAhchwmiNwg+YIIDAoaHJqnhspnupGNYEBJxcDuwOAWk+zFJc+nb6Os8oeBpELqot+oOUZRzTwAW
0I6fNbLrKTSUGZQY9nypZAp2edkPK3KJRmJOU8gxYL1mry7pCiC7R3Tsr6Qm/ZPzKNwvyTC1IYw/
JZ58WpGjAtb1ZZCROvaSH906nEvB+nPZTV8oaitMO3nyKD1Kwi4enx6kT9/7yN217XioO9ybjm4u
7wNtc4x+eJxn1CZIywqr9mMleVGvXKd4eujbNE9HCdjwsWSzxLSGZof6/0yvXtt/tjYoczD//63h
8euRvH/d2q6v+mlrw64G/x8HWvwjRvh730/+C4MecTQZuu4Q2x42xH/2/VGMY2xYxEAV8fgqK/62
tXFEGTDGFfLXb3vl3+j747/CRmj1cUQq3gvH5UFj+NPWphsIFg0+xmXmsp5ytPuYkegfqmtVblGe
BwYzHGPvOm4QxfR6reG7azUfoKw3ePiznpBgJ6rtmXndsLdVCxs9QPvYUQzYQ4MgfmkV3C9tA6Wd
9XKCZmJiUK4w3WLZ05GWNzLa6LFak5wOIcn6ZB5vMQnHpjE6sN2aBN9MOX34pTWHftF34y8NDe1w
Hys0ORuaneTa9QzX/kfU6IT8Bq75yCjq6GufJCxHso9jO2zxqdha7yphvUNw7a+qa6fF0HIFOlxt
Ps3g+42uZnjapUjFtUszBJH9+tq5lWEFK/bazZlrX5cETZD2eHunGp2OKCLwLvA2HKjJa1055Jws
t01SXqpOnlYdQrzHDDejQwx6JMOZCoADnZkx8qmsHrt4yoAgn2fPR79OSZVh4Nu2dxJTV0Y7FswO
MhuhxxY+8z71bnrCmJADov3sGA/uflzqLQca8kKG5Hs3dncD6GpIKPKEyMp9bMpnMcMoXxakrmv+
MfbwGiy/xYI4AYnyKMCJKEHGvPtSLc2JavW6VgZBAe59rILJzBq+Azb2Fmv+3usEkygQ6c8qbViK
uXHoABrSYxigkDdKYb+tYf/A3+7u2VZ9rv0E02ZazCiCfrsWHuNL0XYawftpeqEzZsvRNeswJbSo
hbKwppTEpjN87givd63fAC1mVOQY5/LcXXvZJsRkRDXDQ9EOuz9tPIzai+x9PzUw5uDhFaOz36Pe
fJll/aMVOtqVJPjRl3W1Q1rEnDSMn9LDxC0QyfOOrqTECFEYNjVu1731fYWcR9SOcOgAHfcROXqW
871gyEES1uFB6NjHVtE8qqdvpF8wsQUTYYqgwvBCS6ePRfcUn3ZrMzz7fYaxCM1OuSSlsuSYFcB5
Nig8IwibY+pJJx1GgQwZwcQZjOSZ92JGTgCbxoXM5SGM9b1c9YXW7Oh5amfDI/i/crnl+DunyDz1
aJUyuiXgOOhLwlsIK0ODMGG15WW17usgwNQK9T5p8yVppJ93Kwzvrup5MSWoszpuOCg4vevq/hZI
7H7y2k+TsMhHihvT9u0hCKcMgxbuw2Y+RHap02TBDjOu66VtQnfC6ItXOam7mII5pP6SHMF83IS8
vUN5sW88gughJmVkXV07zDg1wP5lwDJPBOpoK3UTWnUTtP1rE2BAHFsmmyK4+ClK4hc7TpewraM9
5l3wfIVkBQ4nQvWg0dtiGhSocWv2AiIdyl+ogN7WPi60fHElPt/QW4RX0Vg7g9cJzB1BnLLJ+6o+
lm58HzBNowjddfQkh0cmOqSmNzTIHJc1m418wSzNB7NcJTBlt2tjHuX1PNJDPfgf0GzPkVI3ChOg
AL23BLf1kPutenWUPJclfvex7BJM0ECmGYmWR0TGXgPMa00F0Q+hBxUucOyDcrs310zEgJklBaSs
h1HafanD51lO4Fs8AfqGnTCtDchL0j40g87XRHknuTSfVGw01Jj1RDcGkajZUoNSO6uGBhqQXuqi
idYud768RTDEA2yIwt8bmw/hyuehh7e7BSHiCAoxolVWP8YelFSHqKfPFpeDZg4zTSP/vAjPHQzr
d8kCqcoN7mEjZCm82aBi5+JpJaqwIdIxMHc5b+dd1I8n9HISuwDG6A5Du+3JQtGy0w6x73b70o7X
wK7/FZ2O2q+htJjtMt8BnPoUxvMNSii8NEQcaY52CBFDBGBn1Y+Haiqh/OImQjQd7VSMKNqWBN9d
0N/GAmv2ymGGY5bmEIzvplIYtDJ8dasoEoWnc9rghZPgtUO8CQGiOkVLhySRf0gMVlM41tHVKEVe
Bit3nyaqYXlc6wZxl+S5t+rWRfF7bbBQKkKvydBrpmhDOhTkf0CWMV0nfhm5Q/EaLZ8b3LcIfEXI
oC+jxCwrDDXm48MYz6gnE4cc2Sa+Yu8ci05JSHdy6wpY+fTCmMf2HgbW7sdp/KLq4CnWtsk6xz8F
iXmtaokRL9dickJzBv+9R0Z+DXYuZN9Iydb9CCoGn+/bWCHXpln3YyodLD30R7mWxN1hOEucl/1w
jz0P6S78GQaHnA2HDGZQj/8Pe2eyJLeRNttX+V8AbQjM2CYykfNQ87CBFYtFzPOMp78HJaPEKlGk
aX21aLO2blFgIpGBCP/cj6uFlK/stP2KUMTcySy/qkF2jiIbHAexXnig3lGQ21louIVcO7c7InKN
Br+sxVXWsIJBFz0FZJNwDoUZClDu5q2/4fQXrEzWSQk7WS9lN2M+BcQCo+fYLF45mzlwkNO155Gw
iUa+A6+7EXohnLIrzd0kmduiQTBlEYc9zNaI5Pw0OoYk6rM9aUt/TL/Fcpw7VtqfB9NDhZT8g6yi
3tlN8c2SgLfi7H7qc0mspDJlmpAZL3FAXqUgQSETDLmqrOzIag6z56h1wToINV3iWBJYjONjuzzl
SZIHxqIKZR/lOSw77BbCLoP/L2mo89TrHcL+F+hcsIH9Z4lomxZvVfiS/PzPfd9JA0VlZA3uXOi4
DN+3y9930sKg7RsUPqVhbHBmE9D3nbTK1FylSA6NiD/4cYKmQM9HzAFFiP12jgL8G5FIqH+fqOts
2rE06Qp7fcxIH0UiMyhx6UvlSAi3ALMsYkStY2EyPvomT1Omw1wDuIDrRw1lc9rkRhz3+OKGCPKu
ocXXnhL0Swt2+KYS4BEYrCiv2C5r3tAe9pD4Jvbi9DLGcQDgwlBcVSfOhUm3PuaG8S0orGgZpwo5
yozhS8Cwmd8c3OrGYDPWpUI/TG2dbqUsacqFiInOO4NRYwyO/OpUIKMhaduHyGjivW2E2RJT7OhW
OsthU5LOTFL2MaktqoXBHOWkdeOODOfByhtvn4ZJ7MaSjegORRlQlGIwPoJp4g62GSxVXkxOqQ4x
Mc93h1ESuqXV8vbSpKfEEOfCGLKdGbS3wmB/4qUaMLHQKIiRjtKpiozXPmNbV+amWOPF/TZF0bPZ
h3UKg0Ok295DgSm0aLxjzuQtQXQefQSXbRtEbw0sticFnMPVlDS52xlJuTTrBF/tmPNSJaVgs932
xMroZWmnFYN80AHkr8NAYZmoWuNQmeaVBUH7JhWYM4PxFuhqRmgr09aylV+ZBrRl28NQOrtAloAB
8u0Um2KhyT1jvzGWDiLAzmSOVaA/dQXUJ09W433jjYKtS/puupiqyqjOAd9dx9QxPI5wzkg3+8JD
/ov4NwGPsyVkCsvGcIGBTdJZEkflVlLaJIS7EU+7qsvsc9iNsGDyycr9BewG1TvbXk4YM2S/3wk7
Pijso4SfTjdaV4lh+Z8K8K4CzFUq/7x6wYRv3st6aMP8+wo2/9nvKxgeAF2lm5jpO6E/Aj4fZG5y
RfRe/jXo/8v8KGbLgM3aYiJI/ChzU4bNCkbRPUd49V/L3LOn4ZPMPWNt7dkIgNXgvYLiR5nbTs3J
nm1B56QLAXA6VZnLu2QQ2i5j3B45kZHejZHPhGqQDlYGPzbSU1Rn3pxBJqFzN9Ht4Df72BpuOnk4
jB7MniIwsH33Fu/1cIJd2dz36XgyU3Wrh9jfsdItytmvN7CTLVrDGTBRhhN8+JQpK8K7zdbXZm+j
qt9Uy2+c/j3/EsajA8hLWVUxsf/J0tw2iiz0V4ZUCKhPo8Feo060ccUcLF3KVXFLDp2tSyspdCH4
bHYm2Rn7hs1M2TlV5j0ktlg2Ci6bqq6Xeth/MUh0R16ZLlFVXoGIhE5nhI9GOdRs44ytOhBELxEP
oEE+Gr62tsxicrxedQOUyYVapxvF6PQlG9hNPXBmG/nRLZi5fxlz70vaDGd5XoNoaXgKZTt0Ui1e
x/GwZTicuWLgmF51DNYsv/jqy5x6BpE9Fqx/nLGZSaKFvBmeMp3qeHwJC93bMz4AR6uzijB2XUmZ
JbBHmdVSA2bqhMRSILcM9rrv473Qyw6ce1dheIQN4ALVxaRusun2zNxNRlV2EtimKyuAKu/bE05J
JauPo2wNvGO6Cot4WCw9LGNOg21lUdVxgC0A4Oooh94qk+twT6NBsuac39ywrZ/u4UkFy1wGUhjX
iXyEtoN7to/jp7yC/MIw1Xjs6jS9ritRXgJDCbeWqIZDaXtQ+cck3812KjbLmhYdPI7XM0NzIFM7
JcpiSmXvy2DhrAf6JpXbTJGvODHCj8ClfieP3Pi1x0vpWYps/5tm0YSQzhmvnpA6gVvLGVMFNnlE
EqybM2F1BZ2SkFiDzjoQGisJj9WEyHgZ245Utqdqzpd5c9IMSxhImTl9Zs45NI1AmjYn08pUhrM8
Z9U4KgJfRT+ac2zZnGgz5mzbpMX4tea8mzkn3/L3EJwS3ph/pOLIx+VzUg77Q3dvg3DdGszZFsGc
qIPRgAuZkN0wp+0gfC6HOX/332L+h6RLaOufF/Pv1XJ/X8h1/tz3hRwXO64sYbIfxUL+2cVOkljQ
waVojFvmUeZfCzlbURVqi/Iu6X5MkBrQ50x2jXOxufLv5pXGHGv7YSGfS3M1GgJUcNsMLNmL8qL5
cSEXnV6lUp6m50kPoHixG+nAyg8xj10WsQ3SDY2VLTlqECVdXlkbGRNCWDTnoJW2BIuWdq9cZQA1
WlXs+rp4iVvtyasTJ86gVE7i4NvaZgqYOsVSPjqB6T/VY3LVcYRbkU59wfJqOFpAqNJL2sKZsGHv
05FfagKOEhBVkz3karBv29w6QBK9WEHMOTVnZDeZOOft+AsdAq7qCZSv/FyQplkUdvTYi85Y5BkH
Zb0E1d/GqIyiD8+tkX81ckhnOtKeMwWmgTYYi60+4lBrzK3qpbfqOLyN2nSsNftL4tW36Gy0xyT+
msjW3sAqtsg746zn5i7BlbKwA/1OJQk+5c1zHxhuPQ/IKsG7pretCz42ZrP5OerjU9RHbiEJkN6g
BvjNo/iISnogWYO0O2FM0qNDUJFMnYoR+kncbDM9KdkeTwIIhJ26LErPQJ8v2HEPWmvlp6K8IjPg
pnG4QuE4E31wW3VA5sZ/MlPD1Uq8qII1PZEe8Xs8INO4vNt48XW9vlGT9Es4tneFJKvLdOIdBqzr
NOKZxWLSXsmDh+M/NtL7UsPlU1sNwAaMSYjG3cmXLdfr0aSpwOmdse1uAnxY/PfQDY06WTZldt/y
1/BKzDtxKEHB6/O1HsrcG0s4uTzuy47vIYokcxHJVgKkzJIX46heh1a+73vvq1bi8AsN41bLjWuJ
c54jNcbBTgkMtLoJCqVAvETxupZ0b6tHjXbQc5bkoYxucSK9WnIIxjS9SpF1o6y6921e+Jwaifrw
oTYUDPSOLVGcgNzlO6hYrqo1A0hlz6E8KHaLsF1OxABBLq5lrdvECv40+glG5Lf2jb1WsdQMNgSy
WTzmebqyRTEnM7jbc4DaQSbsqWcSNa/3irCxxU5/GkgSGMIujtNYgYPhJFe0bEXkCJk1BKoWDhC4
05aJRFKBf8iHBL0T359VP4aGeeBUeZ11OWzq0E4dSUzTGgIjsQuv6l0b5PsC7+VzkZU3VscXr/c+
8/TpJLfeV6+TYFd3+rVdWBgavU2vMu0Qnrc159CEzkMP5Mhyh8lKCNWh8yh+TGCtZ9RMLKKj0md8
8dWpdnQ0Eyfhji5Ib++aDqNXzJBnNJm3Jml4hqKwDiclXY3xNagYEZAV7/zpBXzsS9MZt/Dlb+NE
LNvBusSKgkjnT5rTK6Au1FC6h9ZCHh2USTA1bjB2xi4Mgf8SLdT52jto19L4wvc67jAgrPKCXB52
LXWpSNqbMtTHRJaOpDmzVWgBaJTH6SUn7jgWje4wZwK9Z4YMeHosWWNF3Byc8E1q9rlT1o1Ye4pv
O9hF+Pt0jP37lieQ//2bkgxk5glzLGJtngEl0nXZym91yiOhGWm4y03zrqjKU53waleE9lYU8tmU
ereOBmMhKYk2JzIU1xBMFeSpOngCPhZRuGXKHd+XGR8aMb5jdJI9aWmCHEZCdQnZ3Ha6rtLA4vkb
TzMGZt3jS2mE+dpmadRizscQeZwg0I7sR851gs0P97m1HEOyRFHaA47KL2Utr6NKuy0m1spc3Aif
sikOf7CwcvOFTC428GCn8OGWfSgbzPfbO8mYhIO7vAQDSk6y0nmo49p76ozpqWrK66DWaMpKpE0R
CXZJLHBgUNqbgqKwZcWOpVUlIGIqrq/eBBrjp9UXLA4sFQVWOUj91bT2yyBdKFp9O3r9faw0D1U5
0z/j9gH4pMw0oRdLWVaC/VRH3TKEKk21A+f73If0kQh1W9XRTWaoWFHbHLVWPPUx3C07iYB628DC
7Bh7boENpVLuO+Oqr3eT99iHey1Qr7KIGYJu3EcMMULYWobgNG9k+UkpcnJUiag3dAe8CRb6lRjs
C8x6ftqa5G0orUkWJtzxVWIyggo1bZnb/aEukuuOCYE5JCy/REWnUdxkOjnoHKky9NsH4pnkccpm
VzYnTPqLRm/DhW/CbRrVcJnkdrhWyooIcRU+4PNZJ0kVHTKJ5X+SqqM9mpIL0SimImCIADLjt64L
i2/LA5pc+DvdtiSnfk/viPckz0hqA8Nu/kavXXDsM44whc+KbT5Ecwiogv7CBLOcxpN4DwnVfM/m
OBkb36JRLvRwAIl65xGYPgu1os9vQuH36kbbdmZwSt7TSK02MnicG8/QlfDudEbk2jTYpdSiKQXq
AzVpBnVpMcRdXOHwlKRKU+9Ds2CFmPvVtFraBBSuaVo9Iy7lN9K+b94Ix3WEXjoGw2aUpWVKaZsS
y3x0/o61KvJlPCSvQxhnTH6DtSIT4mgg41PTYDwCv+nIPjTRqkdPLkWdI4VMLrwxLCmmsfe52cUX
vCBC865jiuYkAsunsDLPajF4Ttimgn4O+Y7bz1ucorpiiHY4KEy3KIcr7FbrCDD1Erd95maDHINI
k4tlSOgRU2f/mOGhxKs408+WRqLfpXZ5GcFwLIwpJrVruFWYXLq5UK/OBxe67K2Za68srpfG7jMn
CXgEQqO8FlLlssCJda9xnrEFhTlzdR+mz01mNApyfXpmXDAycA5aOt/icVUNkHxZ92dbF4WAOOlX
6VwRWBhUs4W58jLVCozNvl+bIfQqjvcnInSPFU2Dg5mYTp5KK0E+Vu+tJ14tbteThC67Pb/cjanM
rE3aC5kn478Jk2MveNXSbxh6DaDa/AEl/rGfCxBBqT3UynDM52rEPrQlmKqC4jR6EznCZI6Qku2E
yUerjoPvu0WvMAylajGYOxcNybhri+44DcFCzsIvCc2MZUxkp1bHQzdY7Wac6xuzwTimwsocI2Uh
pOFRRiVYlnQ+xrly6OmAbFECyEJCpTIm4yHq05RKQ3la+nN5JAUIyrKbCyU7Rv6EthUyjClSJy59
YsZTtakZMi8rOfpi9uxhLFoqzaJW1za9SmvfrutDWtJOWdJqmUSz4ZaAQJyA5LPTPmLP6TX8uPQE
98Kt0Ug7IzTTtRHkW5vdVrFIChUb+9QhoC7+O479oa0RNPnn49jyLfm/EwrE29/PY3Nq7vt5TFH/
hwbDqQIa5h9K/l/+USqvOctjLf2eD/5+Hpv70mRgoPJ7X7JMpO5Pk40m6DuXydyT01ER5f4d0efj
aQwiCFliJsKEADkPapr86TTWeG1UJ1OmXDK81HIcHkw/dtRuXP1wZy5/AKV+hHIp7zbUH0BTuszB
cVYQKYqFzkVdzsdjHyU5MdGCuL/oOh45ZqyWttKndpeGQOtztn78PkwM001+tsf2UMbFnalUVEjU
DeF5gJyrmDnDvkP1hxNo0xdF1m8h6bxevL565CDICMAKsFHOmZigTm4KLugoRXLJZQZ+ZOeA+5dK
ubSoVnBU4hzkLdgIARGxSQM5mainpa0bG1WNM9czOlfR9GbZki7mTDJg8tMe2FMfba21WRrVx0BL
cqcb9BtKm66ldDhJkn5q5vOG3OMxp2JtS+nCqfdSH0lH3GGkIwTod91SmW16bddc6dLk9lr7YFvV
G4v9s5+OUOdw4cStiQd0DC965e0NeglcUuYbAzF/XQcV31BV3eWGvwktja1xEOzJYH3J+iB2O2Yh
qDikkZN8KIDTzcEOSiJZ9adnyGizmBadNQudbMS6IkFKKGHltaa4q2qf9TNtF+z4rs2yXSPubiiD
kJjAUqjTayp7BzqxHAYQN9JYJE7alJZj2s92QzsoAUVMQGhVrRazz5GXFiZovr9oHZvtN2skcS0b
+lHqWkyIGeGlEiuvMMeT0tPqMeId7nETuay7F0o0IpdR/npKtaPv43VqhLa2O+5t0DNjkgy9Wxal
/YwivCHmdY1dB3/RVN+HBhBun0KFhdokN3XfboUed8tKlV9ldrQLvx/vkzDUqTuazgokE0IwESfE
qfoqEuWrAqDTiQexyRN7C2aftzJvLsZFVyntWIOZGwdTnXgDJNnrFBWPgcmUKjXyW5yy0VIrTRCf
rbom2sSm3nMJcVDtwCPGIVHrA3Z1QfmCyuFDiLCkZnR0Y+BMJA9x2C1GpaJMROsxUuAScolyzi/3
atgliQ5WesQq49HJqalfe9nehrpwuynnoAcio7uPdXXOlfQCn4AezgZYsKnLOFK2Kh2jgohWMxfQ
WuULfu9rEUtvMIRi/CX1Vc7TSJKoQx6vG2ew+2XeI1BIqU4mqu8OVoV9WkLw1tn7kAvpwpmW1T8Z
kVkDAi2Ofih7Tl0MeMznLpX6gI9l2TX1pu+bR6rCqA9la9xFMpUz+TE2+MmqWXzBdbpPJGk7JUTA
sGYFK06rhPW68KvRE0xFvFDxs4nroDHWQ968xTjBnaElV2MUj321gvW/DbSKlhtpMxrmywAsdNLH
2DETmk3G5DkBRtLXJJzaXcHUKZFwImeVo0BSIcCmNRSWqqseialTVBczGo7mqejWqhk1rswYEtaA
9pxpoHaGvF96UlWhKRTrVmTnMe+foAazxRm1+6aRrWMhUaZ1O6vVvgV1dJNDfUl+t4xi1vwonhHP
FLN2R9E2mQS0uA/iWV3XquaNxnjpR8dcaGtvN9zkxy07PekleyhWEIYdb+Ht2S21S7DH218v43PQ
8uMizuVtk/cOgUeddM/Hy1ce52HJaKdLZ74U3taWGyCez6h5f+woKPvw3/KfvC5+dh0F6LUpoDYh
F36iEtoN76yQTpuLCA/0SS6S5M32twDQfnOdj28/1iBuJ/eTd6CQUUzn8dWPWmRJ+7HechK5GPq+
MuAy0IerPfz6nmk/+85+/DCfLtISF68ViA2Xzq3vKRBYdRv5q7WcGxqOKc/Y4hoQ8iJ1lc3dCYDN
4tQdQ/e+Xnmrq2jXLzbMWg7Nkn9wmbv8Z3X/67+fMt/Mz1/qzPIzAWaSVnnHjvwQIEno5cP2L4sL
U+WTdyWv5KN48HcK9T9OuxwXuyexHpxT6fYbXXfSPUGIK1Q4F8qG8/5X+S+FpLDb+eeN5PEt+5q/
htlPAG/zH/xzI6n8z2KvaFmKhrb/Lpx/95gooBloj+Hbw0pCPyFf8V9ubfQKKKI2EFG2kbPm/92t
bf3P1HFQM7UV6P3/xqltzM/wh2cI/A3ZbOrBDZ2ouGAe8eMPyQSrbKWKL505Z6EohbyrtOnN67FG
xXpiMIWSXR0lqhoxO8IqL6prmzHAlWLO0RvaCjPz2veZJbGzGtVlW4vqwbNCc3yl7pZjbAA1V1FG
bQ01IF/UioWUU5P+RTHX1thYcblVvUUXZkhrWiHZrObKI2h2+dUvk9QplaFw88BMENjou4R/C3Et
559VzVIjqahUzwWiEgok5rop6PRdn5m7KGIG2VMzrgeErutWWrdK+yUdqALpcHLM9m2mBgp8aGk8
jn6Og9vUV7xYupOV8R5OZ4ugLVvquhpJiYxZQVw9HiCxWbwBRxv4l69MC8WritWk9kulGepLVCOq
EjlPnjpLH2+EeAgJLGMbi0+wrIIlI5or4FAwuxRxhFLGEJYpQx8Wr3XYu4bFHofWR2ytnd6vTGuY
1g1+lF2GLwPNNRy28QjCvtZLsMewsfuFNci4BgtrxngX0pmK+xGBwyZGktNdE2q7EtlzEXc5TnIr
MtdZTdhx6ORzXgTBxo7RZqFL84eojgxdxhIZ1eJqljCfBnG9qTzIHZNiZvZqGFAfa8ucX8NBgOPY
ZlR6QzF9saZDpYBdR+HxNqu6bp3WebjzDMk6hlpPKLLB/BbjgcMKJ2ZPnGiDp2R2yQXY5XzAQose
58yK2tSnWNDe42Guk20KHjEjHhIP0Y+Gw3MyO/ECLHnBpENg95szhPPRSWffnlZZIMcyzPRSZ2yr
2d2nzD6/LhpvSJTyNWED1GYvoF1Zjhj0FvDP2Cv2nDTu+Qs0SovTs0K/0I6dXkg7wLqOyNVE5chT
s5mosFZCqgNv5CiUKOL2TZpDVdpUEfCgnSklQqcpdZz3Ws6GK8/XedXTJmhN7VoN2M105rKRB+GM
0lDv+mF29na+cHXNs04xmAMptb8SUDoYUXqVt+2dJ6nHujAVNGepOI1En7ekTuHk5xOKIvShtNGT
WznyaCe03hpw62FiUgthHsYgt1cmfb0lwwcjn6istM6o2wcd4BrlS3tez4c0sHyUK907ZlZRLwl+
05AY+IxlBn9bBsm2IqgQl3xJFmW4xXwmkgg1LJTYevFbWEeNEZ6HjoboIWO/LjVdin5aOsJItuwA
VlZVvaSVtehzEHdY2g1MDm2TuvS0uQVlfzIRZddX5Oui7pdBEW3NTtvbPadFMVuwG2y+/ZDcQYM5
E9e4MzqZjDycBuPs2bZB2/z0rSixP0/t1mytJUnJFRxz1ZEDuPMSVcRd9xIg9RpVt6pRrBeRbl3q
OLu2cuWrTW3rIk3mTN94rUlE09OyOAK5daVYcwq+Y1qQQ0eDT+hz5uomGQXGS1+ncbyFXIgTLo62
wA8uU45VHdMvDLi5320DbMFhIcVNqstXaTacxnJ0lGncZt5cU8T5dpLWTM42oD4d5utEQQZX0uU5
xRW+GhZmZqnYkAhw4gBIXZGfs0KmS0bO16JRGH+1/kXBax52/mZAtU9z6dB1I3Wk4UvZKpwmBocm
zG+KpjheJZYaR22vSd6q5C332uuhYXhmUYWDZh/22aNemssa3wCbrBVWJAollDN2RtpGDXzLwBf8
4Vob7NskmpSlnSQ10El5nWqVYxPlW8yZaYYHLjDyb2MZnljh3BHUGAV2S8MiVOjXwVYV42aYqkdZ
NLtJt24Mtv8wbq/9brxq0690rL+Vshw4uIEWpjqPAwuXgN0y9rWZqev4anBFf9Qx79RrxUu/Cakh
G05bBubDQpY3kt1trFpyZSrHIj0/UMZ5V/E3NT0AioZerDyp29dy6/JTPNW25Qq13qneyAXptCq4
YUNWL/OSmYOmKa99mz/yr9LcAXsIx1oS+PRULE36FMesf6mzmuSgtMfzt8U/vMpHIJRdFbsBfjvI
C14JM2gEWGiYa6XpHhjOPTcllbmFuTVNE04n8cK8qTYZrEZ5gAky6fZaRB1HIvkhr8jqSMyVtMEN
PXClwl75gBXMRufpNNc4qK6yPNkXHGI7qb1JQnNjDd4ZJM8209Id4NNjkAMVy9rQpW3ygiVwyw+M
uZx1FVX2QRXDU2HQFVLJraPY1p1XGVc1YYis1q/bgTI4S9Q3LSfQroBAQtQFJGhySHR/l1glVXGJ
f6zmhWrKH8e42SuVvi6oiKT2zImgItb9vOnJ9l6R3c0IIqHke0nRgrPkYaTxqSS+qWv6Gyel2VUy
Q/m+JxIR8+KJvuItuoua1NwqPdqQjS1d03mpa/Q+5MRnQvHVSDk9NuUjXLMtitWZ9TZcyVW8Fn29
p/iV3yVxTGeSxVOg14Vrq/FtSmZ5UQ4YoFRxiWIropW2WGQ5Zio4txuPnFmvSCmtk8hB1Lubfg99
bVSWccJ8Osgug4987w1krMavhQTIo45emgqHN+8/fgHQVqPOXLWtT4WElFFs11BqQu8w4IAleclN
J1lfu0536SQgfmO6IU04WT7PVZj1Lfxhcoc024+Nv68a/TbnmM7YA8gzXZ0NHE0p6KVdpmg86wm/
0wmrQL5NpOY4Sf1TXRWvrVWt/Aj7kJfQuaC1lZPKvP5+2NL+5Ej3t6MWO0RsJIYJ1FzYBOo/7hAb
cDNVG2bSWU43YRTTiHYtUTnx64v87SjzfhFDYErU2Noq87nyh6MM5cwoTJqQzoP1perXffs05N98
rAZETH99pZ9teHHS/Hml+W/yw5VyLx8FXGLprFinQJuRIWI1Tduc6V77HCJs/fpyP717/JpmZJsQ
2ME+Xk4h1mUx7/AvnfTctPvSf82S119f4mefiN0ym2UuA4Dt0yU8wxxkeyyCCwAhoo8w21dJEAKw
YbYOwrY5/fpyP/lEoDQ5tOAN1YBZfjoxdJlRK6PchJcw8xehWpKBp5fpN59ptrV/OpZ8uMgn23sN
J103PC4SId001QHI2h++4n9UKn73Meb//4fnoGumhqY9rlAVR2MGBeS3nhn+5iKzqvOrj/Hpqyni
WeJL6/AySOqCkbQdXrSQahPzSQ8dgxxaW//mij/7WEgvRH91/GBwvz5+rDi00jCDzHMxyyu6PBhO
b81/WdSBEYxiAjhGpI/nIYj16dZ5uioZZPujC6iCFfx4k0YWsmO/fsx+duuIWNhcSsAdf0cN/vD9
5H1gmmFIO0dVPGXGIeCkSKskrvibqN1rHcNW7+rXV5yfqc9f1o9X/PRlEb21q0KM0UUe4ErXD2BA
frMYiI/fzjy0YaKEI3t20M2Dm0+LT51rEL4GkV6iQ7Vttrw8j7mjr/Sr4Fp38KG4JBjdX3+qj5ec
XXvcwR/u46dLBtA4hqbooktnoEX7wFNtFoV88+ur/PzeMQ2TeXOiL356JPB/GGaTytHFK3HFiP2M
8P71Fea7//nb0cT8tNHWAc/l04Nd1EooxlqKLiZH39FS2G0+hxpzgSj6zWf52R378UqfFjhOxHlF
i0Z0EfpbYF3p3k05/WZ5+/klkILRZPklmZ8etVDEnaVNfnzJsrMOIH/Axau0xm9edT/7CfGw/XmV
T199XHUUZlE8dwnjV8w3niqtKs3VY5q/m4sUQ3b9zXf0t4+lUFRgYhOdWw8FQ8mPi49ie1g1zDy5
NN26rJ7B5pXT9a8fg789aJ8u8WkamXU+NzQok0s/MRqUcK1F+m9u288voVr8atjwoLN9/BTRMFAm
x0nrUiev0rTFp/ibC/ztUeYzYGFhXjoXOIBf/XgBlk6zF9mUXtjnpa3u0A8Y0tJFAv79Xv2nys5j
hX9WZVfJ/y3z6uXrT1TZ+Q9+V2WxW2PgoSJb1ZhnosH+kJsR/xMI69C/FfzYjP//VGXBQzHZ1/AD
KNo83P+oyjKW0FigqGQmW4eV4F8oszwOHxY8KCEW/x7efzIvQJMYz6enpPS9QZdER4G3lt/3c4Nv
R5WvhCEByaGuLtI09/wywnzUtaJx6Arj1GBikbVSUuu11GW7yYd5GU9MzuAOPMRUNS8riD5OwTrr
ThqHrzSccJ4gJzqN1uar0rM77I00E0dUFGMwJEszWAEZGvPOpsaYWV9GWQLV1CYVx7x8/E1F6THi
7YPXA6XpouKmygO6taTQ3giZ3a7GeFKV9zAQTzkCzUxMEgu5igDH6vh8CiqXE5oDxrmDmUzyPhqT
J69Rdo1R1PuAumaZGLrrlzjqkJ7kBWDILwb5nE0z9zxXA3lAOx/ejNx4wwkfLUEjwtsou6M9qI+Z
kme7ok1wIlMhrXTBVUB1xpa/5qudwTTQoeipnclJC6f3/QAoaMVACLoBKG4d7jakO9fPIcJ5gcRp
PX0jprgaZkZ3nhRrnERfeRtBB4j9DWEbC5KSznEVD9AyCiVj1UrDGfWARkhI4CFEcCr26OVTRA7a
0SJNXSCmUS+wTrp+qxrNczqjxcsZMo6P9zzN2HFLHu+tBBDjZahJjBTNMJGbZFBpHwKp+Da1gU7N
MK2sddRquPBwEpHBHtZpyJm4DCOb4oMRGSVW7mDa0fc8AtxS5kZKP1afJhklhUI/u71tjcQ/Qasq
dpOcVjZkynhT6Pmqj+RrQd0Jo1+LsveQCW0sh/dhrxfgGRFTVamJlqqPGFIYlH/grGaoKeUXH31y
YdTE1w351pRIbfURLektdpXEoCQv4xaTogIn8VDo4VdTTQ+exAEzE3OvS9WQb5TaFy2tR+KK6hPO
2GdMD3DpfXM92hrFm0G0UWT/pjTzejmAkpYUFUQDNZpjFkN2MGlqjw+GZx5FK+EhGSlwnLJvcpLD
NmhxQxr6COkw9iGlSNGrMKRHXYG4GAzXSdAcxk661aXguWGIiXXDXpSttC+H6iSr3t2QRfuxB0tT
esq9n0K7Cirv1hvMfRNxhwrF11y1wE0QW/aJM/yTZ/Z3hkzNY+LTsTLQNQERQP7CHOS6r6KTX1T0
LNo+jXHduRfatQrpGo0hxEMothSPOeB0dj6dMq3R7wtJR1Fp7mcTiZ/pUFz1cxBOG7VKEQuoA4/r
8RGh21pHvpTSRgu/jGUOBn8pYQ8cQU16Q0f0LKweqzrdqXZ3jFVli9/4vs3AohJfVWe/2paYRMiG
bgbESsk1FNUvhZraGzNOANIYFkJXpK7gIloo9zT3EPBL3dyGjqZhP4yKNNpmZuEMNf3jCoCKecVl
lRIgWbTuksPDXijUhLktiqAvj/jCwYXJ3ALWpCt1NI5Ra7/qBgy3wjTuFEM70lILLaWFGEQslfDX
vMRVsE46X75R7MxNzID9bUGOtwbZS+w72aRgXUTStAi6jeEYPG/t5N8IWftipli3fcU60lfmrX1f
klxcVdfCBLxb+qjXo2J+UUIzXtH/w9jAKFajKjEgClFlWEndGLIkRTgcSkoah8NK3GZhl9GxYIav
RSCdjLzrVvRs/T/2zmS5caPrtq9yXwAONIluSgLsRFJiSaVugpBUEvq+x9P/K8vXtlxuKjz/Ijxx
lERSBJB58py91yaUIH4YowGeQ7QjtvZjQZjgd/iyaRyqIHRrJhZxayqw9dolf8hhE4enRQ9R/lpD
6VPmXZlOc+fKQPFGRosvS/mMXN31KzEYpLItj8FAMpA9tK9oCOv10jecNbNzRGa5QXb5RIa5JsPM
EfMfskUHSiMyv+/MC9nlp95V6JjKKPSETHSHbHRVYYbWyLh0cwxU9BX9nUGSehxg3iRZPRkY56WW
I3Gly6Mr09fr+T43x0s1JjfcD3wJU/81J68du5C66iT8d1CJabIJdZ/c7rYw0BJb7UEl9V2o09eC
iUwgzBuLVPiKLFs8ijzVMjCezBrEMiZZwEggdeCqBMsXqt6tWGMRoVe7guz5RobQ26TRh7jNWYkI
qDdlVD3YF0LrGTIsi6PulXTcF4kMto8lEUSG3YN1jWlwJ0T1GFXhp2oDVhGSMf05xFs6LZT/VWW/
ii6pUP65KtvAgv27QbnKb/1ekpG7YlH4oJKEsslZ4lNJpv5COhr2N3ob/ISMMPjNAWf/wv8D5QSe
IBtSslr7bVBuEq8IusE2bZ2m8H+EMWC2+7Ekc3Wm5BZ0B410T9OQB65PPYk0B1IwdYF9hlh4CLt6
KE7dqM/WOsmHqpJ8gX4hJRq6Qh7l4XRfukwxEPwXEoiSRE+T0d7mUT17UVtgZun6LSZQD3UUejG1
0HFuMnEv3eQViByOrIIW96y0tVcs5hnrIECmTCE3Of8CvvyBaYWWXjr44bfY+3fMz8hUCeQUqYUE
GStMFguHhNqh9hnYh0/4WqKbIIhi6ybKADuZhYMETkC1NFZWz1DDwxygFneWrRibgHVq9NtJC7rr
Wmmj+L5nIx78LB0fUt2NgLWn5S6OiCpnC25OYyIOY29+MUOE7IFd3KtLdtcLQEllVL3pmAqQAjCC
h20DsCJhPTNeoyKhpa0IKD36gzVN931EaLdBQajgFFJyloAwZoIuqkrznBnyQVugtwYQJjFKDuq9
9FkPzdvUGeHJVABBlfgbk+i7vBfvqkhiv835Ukynu9gG7BncRDVeJrBFOrOf59kI2ScJ8lUXlHO1
FEDmmXNXZ5q+KQvMAoXRKXjj9F1EJE2BtcbLx3hvRLiPzDyygUTbRGGraeHr8JFYOOaDUemXQO/z
9WJE+HKFvitT5H+6k2Igmyd9Pw8yYb5Xv6kwExzQGWslMAMC4FrsWe5LGJVXlmtftQYMrdiBRE24
2i30mYHRUstcSvlmussmUyeID9U5bGB2w6L3qgYnBinBuIyD6qMrGdRbMS6bXsnfxsglVmxm4uea
jM9cYh0sWfpze12EVkunXnnuzEShbgxuMhdxa1iiF400LGcKSiJ21JU6NVCgzKFdc78Rpl0+9omO
Ey3sDh1XsGv7DTweyEsmYwpLrUt/KcQ+H+brqTYftLY7u118hzIhXcdqe5+H0ZcI0JtXqf1WCy1l
z6INKyRqvsx2cAdM+7LUPY+IhiOchE2sk3E8e1oT3PTBspvRzuOUV96aWiHhQlQpiWxsUovmZuux
xxUfmi3OeVUwNpmXQ1nZ18lczpvSwdNX9QVD3gGpRS3GIzFs30gDPcQ9xsKmjU9WUmGoV+0r8jO1
rcroE3Icw20eAE9oyQv+jXEzu92124jHQYkY5nJnrZI5t9ZRb3wQ+ras0qr80i8knpEqvfDNrGx7
WlaiAAjWpcNXne7FThHcnYEs6dosfs9mfWFztB/N0bzVUZbuhzJFC9zoe46Jhoe86BgNwPgtgXRX
zYXYjHVyHYcWqU/plzzDaMm8CCku7sExAWKYuzd6WNQbK+M8MVYjeuEGb1pdWHejJt2IjfoR6OJZ
NbI3+DP7ejTY50PMc4Giv+O1uW8T213neX6fj52OyIPg1hnrW2zlT+UsmLWXszlIkGorDraYrIuR
OJUNsZfZ7RzVr8ZI3KpuEoOiYPnrzfpkMSPzl5TT1bC8Nob+VDuusXNVeKyVa98s/VB4TscMWTTA
9C0ositmqm/BHLR71e5uo6KDts08jDl2Oa96O01Ya41nTCu3Xd6RtRo56Ubrg9FreoS9SVUV6yJW
zwOpSD5a2/dhmV0Pq9UpSfTBGwCq7cDWYJ1TBG7hvkYLpHJig5n/huA5X2stIVFqMJrneDJj+sL1
hBBdB0Cj119GhiGH2bE7X1sG5pTFxHWKAZEZsxebsPLmJKpOmAb3cx48IwqYvFwRua/bYM8mg7u1
apI3yy44hQXJ4ptFsAmFMe+soqn3ZSU2KTYeL7KtbOM4HPxYD5ctdrTnxjE3RaPAOw+2JSX7JVJi
QHZl7K7mligZhN3uZlKIsOGQE1ysQge2VhPfFxpHoBPhpssTZ8s5OfRGJkvrYJjnA3yfb5Do8B1W
nXHQ8Z2szWqBZjCFxS4qiuXrMuZcm3FWNqb09yoU96tQh1ZjdsPeyIEhMwSDvWsOV2HmHgJ3uVLi
JfccjfNNkC6XJg8g9dm3jmJbx6XlpBf1uI+o/2+qProrEEywIWrZpjKow/pIaRgud29WDRIkR5+w
nRxsBbMGs8PR8T9rWXTTxbgggkX10jIemEkvVzC0j0FmeHCAbwY4Er6R1KpMTUT7YDdn10zenCJ/
zdqAhoTtckzFGu5lhB2WhjP7kBUQAy94hlV1vCeP66VMlZusiW/TECYksj3LTxoNdJeo3jMQxWGu
ik1nCADbseAlSWvwxkx9qhhsYhqKz4HblxtDUwdvrBtUAEF6VTgAu5MpCe+R3HjxGDxZHKZWOo+u
neUfTd49MWghLK07V9816l3+FjBZ8DWXObGbZ/cY3XFgxCjQdUW5IFRRPSWDHQe3gwCT9CqDObIW
7KmmMrCAadr75LQ7uw+ODjBBxHzzAbK069UppiuzeMjn5gxOFN7inOerJhFrLuihbrUrM8u/KZXz
MU4cHy06KEVNP7lN3rFkbNq+7LatXfltxb8CRLtXE/W4hFc5qeRND2itTV/cPnmNWhZfOKTkANh7
AkrkXYMSqbWaw9KOnNxSLk/OST2h9TMt3M9xoHMs1sW7gXd9hTnlNk5CfpgFHPjUMW4gpQqiyNao
L+MtldszFdg+nkimptLBSWChOynzdU/Yq1Xj33bHBzQgV1M1lQyQkquUrtXWyLs3EboPIebTdZXX
Z7iiN7KI0Qw2PLcIt2aEU3V2jDN6/6/NCPuvaolKU6r6poJvRUA13hZseL3CcMJOTA2vRr4l5YBz
qZ74ljbiRDUqZwWMJETewaNDZhKLRUNLYqj505wCxro0fjtZDGbFkNVDs7eN6DDOyUekmfEmHJ3r
WUu25bJtSbDSHdSJhadNR0dJ76JswIgjRL7GnLRNkgHnMiZiwq5fDQd54Ri+OlZ8FDoiAQQZERer
filLHQ2XPgLwq9ShueLxuQtn2mqc3+61CgqlhUqxBRJLQGm208mDQbHhBY5RXQqrkRZpkFqjD9hO
Ux6ioSxVEqqKtjngxBiRucXj4AybMhuU+TJzdQqMd4onwEetwgV1o4ft9oCuiE+RKjxtSrNd3JAD
falsFDuBdJ9ijI5Bd4k87b1gKB9JXFj8wmEAOMyh5hNM/NVoilu8ktMGjf1HnTQPGK/NVU7hpQRx
t3FNdx/Z4oVU8ZspdpEe2mDdo7jL19Rd0HFTATBnHLSVQmOE7QTCRKqysaFWsbh+8tpRm/fuDLUm
OtYNYYNZJTwUVeehw8Xe20cJP1oVyEM0dwb4J47aMlPdlNUrewspQOAz08L52sbIMjvs4NAIi+2S
oMWaB2cnhv6mxoRJkQfKnKPEirpm9Kyg+NaM+Y6Bh7ImDGfZ1K11FHX2RU8HRFsYJs28HHesu0d3
xLwym2x2ZMzs+oEnOtF5QxNWZCrQRLXwGpt2wUhYJdtKp9p1tfQ5rZG6RddphejTnJHdAVBqSJ5x
neFM1G9Ni7K7zs3kG3lGCNm1eT3O8bkM1bNJNCFBrGeBbIxWnbLUXtMo4WFQy4d0DPddFD91dve1
cksmt0QFO812suxbvCpr6l7UcfpzXBF33iqsjHm4X2Z72QN9fOYDfo3k0d6mFvSjrgL7kyvPIi/R
VC3Y+ss6uZqgt4JVTkowO8tpHEDB1pb2WA0qbpL0Mo7FS1o5DbqejjvBfcqQh8VG9JCP9ED/d6D/
fqCXk69/PtDf4PZ9aTm8/0BllL/124FeV39REbAbwmb+6xIM+OlAr/0iAIPhr0RJAuyG8csfynfB
PxGNYUuwGWDyPw70BL26TMzAlsnTPNHL/2XGwkDvxwO9RM7qdKlch9rB+HFgKYBiFegBtWszG7t0
Fw+DDjesTk9wbNZiaS+kEjwExFXQpMy2hFM/KHHUEsxFHHUZbl2ZjB2n09emq0iHKomzwPDrArjt
gxCz8cQhpfWWfsfp6qkMw0NA1rYTXmsQo05l3DpEKFCN2hqFTNpaIxvv8i0TDOjn3oSREDhPtggy
36HFTuhV97SUZI3rRF4Y5nATj53hg4MgtYMByzJQ2+uGcRIqnW2ybe4LpZ9XcHHf4wp29KJ/c5Qq
Zh1L4X3r023uTHSnJ/FENffQLMJaTTzDCWQPRK/0rK15viIe54ulzVLomy+rKUg8hv/8INx0M2Dc
MCztWzOQz6WzQhLQE6+CgHiGPGrAp5XGm5o+mvNN1FryoAwubGx2lpTyBHbXeBzFZwE2DSnkCpKs
0XmVMY+AGozOfdFiEQyA2JucwnNgZZyKdEfFIhETVBkdTCxflSp4RmgTYVROtgHJhYtKHxptbcUN
trxw7C4s5hATl6y5DKWRbDGL17SS4RrrEsTeNoK8s5pwsryA/5DX1mO5NDC8+nT0RSOwaksefCeH
LJMLuSVwA3Nr2eN84d6kBUxEkpeMwzoi5+TgZlToAWSMU0BIpDe6fXuI0P1tp4Y+biGItPFqHQep
EhkkMqT9h+6WzpbOQ7+uU6Z5TCBeh47Lh4lE8hHIGNNqXHgxa+SOztg7mUigTepx9IuKW7VxxR42
HTBPM8luHCOkT90ysyMyMwYyA01SZISspUNrbp2ofs8nzd1CpID12SjZDdRg3EJOtoBtYr10Sg76
+hyru0BFWNGqVGoFGMiVoXVp42k2aOy8UYrXakb5Vba0YluzjegfKM3VaJfjVTj2zdaN5JRJmieq
zgKDg3F+FbTmRyxsgfA+QsUrjC1HRIW2wpIb28StqBOJLXiFdU0MMEF0q1Hy8+GAgBeiv+0H+CPZ
0YLC8hLgxa88c+GhSXR1Ny7Qo/wIga/qT4YzbVwwVckHHKV552iafimZJlEr2S10zEVtroyKDhTE
90zRSI6REPhC4uBLuPCzQj6KugT4PNyx9NsIuMHQPilh/ZBJrHzgAJiPmK76g4TOJyr4eRsOvQaP
PpFgesLJyfSQsPqZ2QuNKxrRS3+B/Qk2x8pioI8Q7t3eeqdce+7VYDNKBv4EDH9MoOKb4PENJTlk
InucIKxuDUnQJ19HLiLuia9i3wPdLHlOlZ77osudO8q9mxocfyW5/AWAfroeb7DCHoZMIXi0mW66
pXH2aPJ3JXD/Fuxz/Z323+UwSggAwCdB0m8QQ9Sm2Q16fxKMkAsY3e26caIvoYri1ZaZAn1GuoCp
LuywEnZB8ABN9ENKEIFjjCdlYjw9y4yCSaYVFNxsK0S/SKsLN35NnKJ4ttIu2YXGAJhC9FhEZdAd
6ZYmg5WyXQnCb9yWKiRX+8K3jPqmHJVbi2n0NpHheWFBjN4kA/VSGa1ny5C9Gc7TpppYk4JyDC85
hvlVy+Ny6eXDs8iovka+aSfj+5IgdrdqW8VfspBwP7K5BjBKBP61MvpPMeEYVjIOcJHBgMjtiQiU
YYGTjA0MGH15cBmE78pQQasxP1oZM5iKZT+TO6iSP5iTQ4iaJ/eNUdW3hgwpNGRcYSqDCyPbJMJQ
hhlyYCl3OnNsuhPkIsnIw0CGH+oGMYgOw41dJKMRdRmSmMm4RCuSPSgZoajWAYiPgr/UlAGLkYxa
7GXoInNT8mNkEGMtIxmLPGPyYY/9/0qdX7OZYTH8S6lzem/e3r/9tdSRv/W51DHRjHxKk//d5Kf9
oqMxERw0vtdB1DN/zC5+RPT9PruwfoG6YNhUT4YAhAX5+T/ISShqfix1KKcQrTBDcVEhk3D259mF
oei4a+o0vWbu2TUH2rHMHeMhF8qDU6Y2yRnfD3R9ndQXzYaxouf7hd132u/VgCxVOkmRNDVxMsQn
hHCDsyJ8jOZKnaCYPwZhMq2srkjloE5f521wDVQ68cyEaNVKN4m0Ym5BN/x6UmAeUeS9ENNHa6JJ
ryp1uSksrPZ20NzTs9oiO1ggmRHyro7f0J58wd/LCxhLtQsnc8Psnu2wdS9dmHwMhCaDlMoZK0Pz
9ivqOIAN+Q2bDL1Wde4kFeDaKYMLLArZ2kD+EFrkr0yNsxusil0/HXeBpT8JaLG0L6B3DskCIL+s
Bx95arKrjDzz3cZ26K8Flp/X0WOf1h1dRBrPIQBtzlSqtoFrn616hQV8NVpdtIuoMKDgVEyTV7pN
IMOUKdkO+CkLmEjMbatp2ZVaF+EXu7OnB2to2FVt6iwiDMzr2CEsgTQL7Qxp9FBPQr8hkJoZU8vx
1KrtbtvESbuJypzh+JDz1nriPARu3e1g6C7eHMkSaNCw4E0pae+J1hQX+K7GlVM1NOlzd0aa0ZKb
Gh+ErVja3k3xKm50xgbDbKfaq1Ybwutx7dt1kpwixrZ9AA68g9sdFag5RLhsVMLMROJC7oJXNwER
TN+zsn+o2/RYqmro0frcZh3xCrZpnki7P7WKzo2Ux54JAmuKUOfozZOupMdkjGH26jAVaWP7tIDf
BN0V2BpndhKS36LOTm9oqca6bxiDkZxzM0qWk2aqpEtQraVVQmieGAJ8ktG+z+kuTQE+lsnSHT9f
wrdlQsgXsPbSaZYiBYlSNN2CEVhjvjFva2T6Q0r/oms9I5r8XuskRfUraQSTN3eFifNqSNbzjBmU
KvcMAp2+pmqWOyWEhKI6ZL7F/GTC60aYd2zkCWv6CDCUTDddA/cBNBXFg6dO6tk2RxUuCg3luUqZ
gavdlYVvfo2vT/fjrCXOK9efrUkjAnUub0d7whYzg+wOCpInaxZ7N3ZM4uiEu2pt+z0Pwm/IWsiW
wMaLAqWDopTc9GaBVnbAXqn2NqfuOfdLDR8hFhh343Drq5oIvUJtutALTEb04MFLWIRxYpfpoWi7
8u5/R+XvR2WVUfA/H5W32XtR/HX7kL/0+/ah/QJBTsjAbvIovw+xf98+9F8gvgr+037NKPhj+0DC
qHKJf5cjImX9bfTtAhtCZs5i74JIQAT8X7YPzfqzKBY1ojAZA1i8JoW4kC/3p9F3Mbe2PvWOS3QO
FDE6nEsFPVsGEBoKqDHsUiz5z8h7mgv0beIKc5lcCLQKU6t7bAqegCpPX1M0OdgEQdJ34WYWAhFG
ZWSTDGvExkYF6feDe2Gi+4HnEnhl49A51okvYS1syfgx661K0qtD4utUKTslzl7NBuunnZTHMBkv
qQyJtThcMhrd2SrxK0yGWZbGNUHDCjf2vMWJf9YZFsS6SrdahtD26rybtYGaVdFeE3Jqp3ow941j
P1bCZhMc32gdnoiPzEyZlWw9uQ3LoAy+ZaN6b2ZHGsboagMFp3FITO6CjgimSbHWB22H7/1qkJG6
owzXTQ2lIW8Tu7RKkpffQzj32nJ5YLh+cmRE75i0HOxkbK/O9DwShGIbfbhpZLSv1oS2n5D265D6
i5xz8GpBELBGInBOMjCwcgZk5TX5MjzJeWBuchkjTGz6foyhWLoxhmwNPIynjmJYlTKAuJLYb8bE
+Rp/OvyX+ZKb6b4Noe0R8vdtzgeHpQ3GZ1MG6BBBqhghUE29H3GjaR+drhw0ItzGbj4mKGnosDPD
GL6HJo/9eERJn4AoZ5A9Wd1xIWM5V4rxket51ZnPS26d8MOshywjmzc5qFZwO7aENZM6lrQeFBXC
UBS96On4xikhKdWviSmcR4lPmULT3metI2iOEq8SOw5MHbJN3RO7bXSw03LY6rQJyYNK8KgLaVeP
OMPdBsQUu+ts1ibUgiWT88EEUFA1psi8DCfkViPHAYlr0ehHO8t6CiTL2SkL6Zr/Ww6/L4eykfbP
y+HtS9G9/L/VS/P60rz8dVmUv/zbsohIGyuTQKNNR1C1VbwYvy+L6i8Wsh6U2IT2sXD+0UA0zF80
xEB0Fy3X+f86ot+WRUPGvVh0HwyqawTc/6mq/suiSB9S4jvoIhqswQaf7rMeyIgIJO8gEZwjzPXt
eZqePn0tN7+6Wz7D14T2lwYlhbCA2GNgHURxZPNHfn6HPiCLLTCn/twvpq/r1cdciXNGrJ/ZdB8d
Lu+Gp87LBUdvTSn2uu3umjoh2poZAnBESATMBQq72Smtepf00Ua01TclI/tPl1nkDULxLh1XS5Rd
E+9qpkdj6GrjOgTjMOJKGVASEZ1oRgRuQYOdF8ITVHM/Udp+jKZ6Mow8siiOYtsTiA2/1brk3jK+
9QUtOcAJRCElmZJ7bireelibm06zw7VIo1qm7n6XQV/bla34mdM8uk1o+EjT2ROEGG+SCcmPoZfd
RmvQ3MxNAUQufk51/WjqeNLdfD6OIZqerCh3RdEtXhPUd4GZbUn4PRF4QANgKZ4VdUQzLKaPPFWu
O7p4DOEWjhcgLcKqu7UThhdqtTeAkqWqsiuq/tBVKrasfr5MqXNIFpaJcKEB1qWH2rZfAm0Y0bDS
ySDet0/jl64FcgIKkg6GsyPV5VrBUEzp5UWB/gQw4sCEaJfX5lEU5P41+nDKKNCt3PCbqt5xIiFE
Qbj3SbyQRZZmN6S8pat2QTMWM0KuddnmSA5CEXddRkGoLxBAjEXckr4MFaOdiDJ34v2c1Uj5E6gN
QWJtCefDsS/5cML1Ryh5XAuZ1toNG5reB1z5a3AnDwJUCHvg2Wqtp7ZbrtNYfIly/PB9kG9tMZyi
sdmXdGXDKWHAB6Mkd8cdcvVjpGe3llbmqy7JHpj53WuB/WAF/aZsyCoGHqxMzTNCIzT6nbtVjPap
5I/X53zaKnS5U7DN+OdJtDM9I52OqEYdOpvAGsRc8KIOu6CAORFa9jNPwSaJk6cwkEV92yUbpe+5
beqPuUx2jpSTGdVz36hPiqLetrac39GqHiZ3rZrZ65IGl5SM+VU0h8c0kZ5x9F8rodh30UJmIrqD
dRiH4HZzGlAatbzCrgjX0zZPztQWUKUtULQVAzTTuk1c8dhXbYjYnEKfgGienmS8VbXkSumZ8Oo1
WfUmMvGVoplfJgfKSj/32RX6ZALiLOKl3axiYi+ItBhb6xySDuLHwIVVywk9tw4wQLsdw2D6ecRf
VlbP890MAZrCWSF8OImH+Dw1sXWsK0v1XL6KFeo2cqWVFLs8Z3EPzWyzynpF9bsFlmvRBXD2HNQF
uI1IILYk12OGgVs3V5goritRtXto5WKlGTQVNb1ud2g0E5/QzKOlhQxC06rYaou5DabFBfama6te
ZJVfdnXJ+TnOrm06qZAvlPYCZASuTEAE2zLfN4HxYqf1jvXtlDBDX7sanJk5U45BqhPtkqGGSy1z
Imm7zG9Ls4d1oyF3e+ihdYwDZRuNjmuBs4KVZY0iwcOj3ntlVVzZtc2CyChWs8dL0VMdVWhRWKMO
YR3s6FT6oKjX1dIdGRhsIzM6qZn6gCcO8bh6GBndbIspfRZJYNIxJAHGCawrrQPHETA+fq1GIl2W
ha7uStRjfpdq+bgZYmNr2EDVjQUNVuQsqb/EcXNanPRs6NUuBcqn1Va7zoDuwWMsgByYHkveXteC
3g8Nq9ln8/DVUqo7QrWIAKen6rXQRPx5RLDDmtMfRtUqYddJ7WGsfNQt4VVzj+OGtxNeg9DpGjQN
NNk5tYfdkETDFvzDvGXpjx6CmncgvumuyKFEw2hzD/3c0FBOwnOBXZikO8Ohh6xHK1Had2ZdItEQ
iWwH6OhMZxEE+APrOysgebcwFwkBRIPWl+3G7ENtZY/TpgO7vkUuUGzLuS7XGb8IPMfsH0EVA4Un
NAT9D/GI7EpRx2i74BKP1cZw8sab8/LJGqp9Aft/sme/byFFz/YhreevapT4A1XeCjzR1z7TiVOv
3atpnoZ9qSSNVwYZzqU+gWihqk8ktqGJm0T92FvIQ6uSvglJhukXMNvVCvfCoy5F5oFuThunV1yw
eurP2Kh/dmg5JLxRYcjQJZe0BJgCP8iB4QpxXgqT4tzJRte07E1rvIxNu/n3KkD/+/fhAIbK2eCx
/7EI6OyFRPmoOOdZdmot/Sur0o0D0IflsiHb1eUCzNluAJWVOemu1SOUgjqBacUVK9XRDFrOJukl
ggJj1apvEI7Zux346+C97C26RDwCYnHOlhpSrv1e1/1NAfO3nxx6mY0Z1ETa/cOp0cz7Mu7ctDiP
OYqPGWRRzqjs13zDf3Tyu0yRP1uDBX5gF+uxnOPyHXGj/7lIavsUH1HaD+cqZDirWGIPuF6QtVuz
b8DfkBiYR4UM4gsOb2921f3ojGJVzhULlYHUNMlhuDCo6SPDvS3YlfoS+YMKR1pgF1ubOkJl5r3n
mLT5KTD5znWeGyvHrDW75vLF1LKXFGGiloXxdhkJKGk1y4+yOPXTznhTGn1jMmdYsyoh+BAuVKSa
uRemIsxM5AbMkbWvF/2dEdnLhHSll/JvINunebEHpKOzslO1MTmpEV6tZeojlBgk3kYuFictDu+D
Xsvv6tFk/9BCUE8VyBGr6nbojkg6ZYvT6FnNCTaWStWvTRVE7bQwOtCM7BioLz05VxylWBefHAVm
vj1quzkRTxnsHQaNTL4qCywrJ9VFUHpMPGaeHYLRn5R8h08LrY02HfDyvKQkfL1Bp92qCPbwbUQn
vSQQ1GjrTWy0JHbp05fcsrKzyyhHs5bpqrbb07/fc1h0/+Z+4IEk5dx0VFAV8t8/yfTxOZcF/9ad
oVS+GG6be0s1ZGdLqdsV6+lz2DJch12w1iy0nDFOJlbUE98KI74otXd62J6gz6+YmZ/M0nk0RBFt
2tysN32vomo2AXOFMW1QxE2Or5aCTC42dQ+1MpDiRqEeYSFSiaJm5F3f0h2c1loEWX4Z+3bVVVJV
gyw3X96a0npxMQqvB41g3ybXv1r6TO08M+HvNI+pWL1uQFqtmtF6ZDS/HwP9G7wPOg8jy4CbIRSd
7gI3OdpErdalcYuggDuEWd2s35oDrq4kuq1j80tuu1tr7h4d1E44C0rVt+qeWpAed9szwHbkJNdI
SOgIEJwyiH5RuCfWlWs8aYbyqEVD7dUd1NUI6NOwENKiTCVa/GarqsmegDdfLwFMRYMn0k5dO854
ZdMlIVynZZuvUJF3d8ZYnV1n2rfl/MKI7K02mpfCtnxceKeU5MZ0SK/LaDrahbUZS4HsNcZTVdjQ
iuJLWinpfnYW3FSQzbLAyysKGlDKnEt4GAfFvYx19xHbSsBQVl2LPtl0HRpy4ig9HbmopllHCyg7
yBKuEnmFPg3s9Sgr1LSnzaAhw9fGh7IE/KXAb2ZsjRx/o6fKVc4uHo0hA2XgflW7oTlSuHuyHDSN
XTMLxg04br9o8opWSp0QS6FscWxeLbgZbZcQkVELASSpLLoLzttEYxyMoRMp2w7EE2Pz+ggTiqqX
ZOfrrBorFO72QYQY/bAWMHVgMM/cWluPKsPBillryykhw3di0NGFOE1A3I1l+jY2g9E559PGQusu
doE9PFSqwjhXPVlm0/hTII5JNLaYBgKy3XSsr61JlLfNaH07DotXUTfsypkWOFzeXTNQhdglUTc2
YgyMBtpPtrafPKlSOvT5SdUjd2b6n/ZnHLR0jU4opNfTgIhivE6bk8aJ5d/XBiZtf9kpPq0MUnT0
5/eLCk4XrAxl+a7Z34aJFI5jET6OYvfvbyT9SH95J6ZsQkfHZNviRyDG2HZDnajDdF40TMVVPJF2
Huh3ZhuW+6hUuOem4YpAYxVmt6qdnJpuPnn3uIylVm7kddetpnwg5rlMhYEh0+jvycK7LlX7NqN8
49Sz7lpdyukmr6CZmnfxc5FAOo+y6kvYIxA0o6jb5mZ/ZdKcpLDwZ00d4bwF26Iz7AdXd2+rBbCU
YR56o9vHhn6FYXxvVu71mIKkYtu2lfQq1QseJlIQImc9VdpDXjVMKIL9WGmrJJucVWfmL4s6m+ts
DJ/qyW0e9DDoiD4ywp98q3/ut1BwsdF//lLljPPTwp5aoogbMqnPzvQcLa+z8xPU1c9e/4eNQ1Uy
auQwnc+xc1slGH6Nrz+5Lf79rrB+uP9yKydTGlPn2dRvYnqpfE1qNP+EwvHnSe9v35ID1ADMlQnX
9c/f0mS3I4YM/gpMv3r31o05NcnXeLJ/cjX0P9/jzARcYkts+uU0vyhNv9NuPl2OOYlRIiyVfqaM
eWNT8+6yTeApPqqK9cOqWD3srfVwfP0Sr6P7yX/J/PmVJ7rd/Qxurcs+2yc2zPf74tNj/f2Dfvog
LhnDlRuyjHQbxmtrlEC3/Ta/RBvXp8/bbLQt3/NGW5NhtIp816sGX5yLt59c27/7FJ/vTrn4fPoU
5L9ljt7wvT9Oe923VyiPb+zVNXj8yNs+mOsjqMmte4420664NXd3GCG20451b7VsQdC2Hq0zz/WU
Y78rtu01SEEYcd49MZlnQkW35t7dk3a2a77mm9t//+gylOIvX+Dnj/5DBa3obZxV/8femS23jbbb
+VZSOYcL81CVnQMCnESJpCZb0gnKliXMw4cZuPo8kFu2zLatdPZOVVLV/Z+0fzcJEsQ3ve9azwIz
ujcWtEdX9VO5Km8Uj5xgz/dCL1rmq+ysWB8fz5ftlqb94MZnJBSf4Vt3WXyWtEK++u7HP38q9efi
5+uD/H0ONU9Whygqusoy+VTh1lmE7rQhzv0GQ3JCb36B4mdRuWQ7re292KgPFNKWf77+3w4vL7PN
j3F0Mtsw1UhjXY7DXp6KpdX3uwmUb9fKxTuL0jyrnD69qE+/j9eTWceOQFB0U0p8Lcr3rn+Uh01v
fhnRdsqAFMrVn7/Vr3/q71c7PUxKuAQ1Q8TtPkTON/pXZXD5n7vAyZlPG+zUNNFq7xNjp8bUAR3L
+/MV3vlhrHkgvhloUlbauTUy0IpyX5N5V6p3ExyKP1/kvft0MovWSkqQGHkCtJnmANcUBWrs/vkS
732PkwesRY/X5jW5xX03kOK0zwCSQgX680Xeebqsk1nJ9ANppDjHajDAkHAwuKfNQdNa1xprcIHq
vqPt/+dL/vJ7GdiuFfosCJdOLglYSfPLqGn3OjameJVoIUW+9Z+v8cuf5801TgZNSqqSJEJ92Bux
Tv3+MsveqSq8d4GTKXFKskGLkQDtZSZtitGJlr5zm17Wxz8N/JPnOIxo+vgpzzFng4Vw8U5skguO
CO5Z5YbL4NAust2f79qMJ/rjXDN/6zdDB0YqYl41ZI26ozCcM6sSa79AzPlZOZ+23eI4kfvC0m0s
cT4u7EtpcdUs51X9eC+O2hmndmSGS+QlG4An6/c+3i8X8rdT4emTE1W9rPgMOuUwL+TSol6n+jZX
3EWy1r1P+eKM3M/ds/yFw1l1O+76Rf/O7DVL+P54h05+906qwYsRZLRvvM5DRjUtVEIBd6l35ezN
c23devfqyl/kVGxX1RopwrvEvvc+wotr4c2PJJGUoud92eylXbHAMYo++6uxUjxr1z4Nm3KZnVtr
aS09B/eaO6yTQ+DFT+88J79een+sEifPSdJpmQ6jYNxXq2ElFsSNzru6beLedFsUgfhgF9Me288n
Qqa9bFWurSOuLa9dhluIJg9/5Uv8tsT3cjD721D5MdxP1Yu2hDOXo3K7F0t9ba7BGA+raTWdE6m9
eIS/vUJgtS03FPXOB9e6XWL14ydq1snqOvLmTcJfm4N/2Wpztex7idf7TKP+m8Fn/zl7+o//fqAi
E/AwnZp+5ld979lbH3QFS49MeVz/Zt957dkrNmA18JcGtVrD0OeK+asSVvvAQgFaw6Bup9h0739I
mTSkTESmoaDlLAri459JmU42u1Q3UdTy/g7OEHrrygx+ezsHYhMbo96SffSICq6dKU0c3P2Ov5MG
Ie9yq+5wUspjS28oPIv88d4OYJOVVvxIKK7iSb3Rg1AgXLRbCo3il1yKcjnQoAxcldS+j0FFYKdL
3kdNmSiEaSTFkYmnBEfzZz31oycMgD621twIPaPuCjcfkHX6A7brNorFsklrdT626N2KhE+A94R5
ElyWjMAdWuhvSVSy346pKKNhrZ4lOwBykVBgNyKfmC3V+UphCQTb7POQtNhZETaAnWPEgxJWwLxb
5VBOxa6mfz9N/aWiTbQLnBkPea7j8KTqsh0ifyLiiq7TpEik4dYdKYW1Hp6XOq3lUjrGVDeuSt/e
YXyKXTMgW5EVWTnP64KYJqlPlqNJaGRFtpJHINlhaOqDlFAs6AMcN6MOc7kAgBQGEPoWKcCiEnnv
WD0nWnMdpfK1bCoZVdG0yY+SgE+k6bDqRLkKSjO8w6bqWnj9MWZlYK8J1taK8Nmqg9hVSwvlfEEr
GQqcM2rZNYlj/aq04VxYlNjxKGZrwnOdTQlqBa0n7b7JMj1VycNDh5l+E5UxDVWjXjWDVFyZaAcc
Uquxq1ABd+jolSqgpki6UCZt1ZkIKUip1W9rsuasMCFGYqQJJtMHoDWckXk1gcmiMXmPXWrurUoO
FZ+cArNb05d7Z0/0t30XA466tokUhdaefXpeiuWwl2lBxnuVRsFKS3v1czjOTIQxyf+qpP07/80S
nN/Pf5s2+1KkX5u/z4Dz615nQJIjZ06RZmo8vvS22WO8zoAE/jABKrgE5Fdv46vtEUPkPP/Ne+a/
kn1exZw6NkpZUTFI8a7f6Ef/wAvw82NiwB6d1UozoNWZMd6nUWRNO/YQ84z+SB+cIROPV0X9zpP4
LX7yzYINCVMm/gHjAg05k5iuk70tebRaHCd1edR6Qhpnc8+cpBJqaq4dQ7kSSBcLc0gupyIyAbGH
oXWHuFFNLlFUj24ItFg9U83SrYdiK+gJRNggTS2i387U1k4aOuz06BsSUcjSdqydjSSK60aGrT+G
TC7CuhqieuOPArE69fA8op1i6OJMKvuDZCdf0jH5LOEOastyG6fxHQRFTPtReAiaemmrULND+trK
UD1XrbUuaWh7KWLLdST01pUIiKPs2W9Eh5O8teJby94IrXb5eneBKW9lh8GuKSW6/fwprZ0Q3B4Y
/zF78pEWUY/HGVbITIeirlZl2p6TANt7dj4j1wi4XZSW/GVWnmg62ilFz286BfOoqt5WA8JENWo+
JRnHt3DsH2tTPxv1Kl+JuLzIw6FHQ2JpHmuB4fpFdV1FxK9betEsg1G7yAJgoE2tXaY9Xrepa++k
WFtN6MuXNFYJ21Gb59gix8OO0Olbojjmhb6z+kpflgQMLdJEEFwi0zuEEBK4Q4xTKypVuH0dUSh6
OX1SsgJGEnikopWujJ6w8kxNb/rMIdPXTu4lUZEX35dbh8zlfdr0igto8qyW6JLIikDOYQfnQfPI
2WuFUc6Nsl519UHAYUjzT/4E494XNliZQDmr7LbyGvyVKHUeKbFzGhirXWvpj3adhZ4dR892ZkHy
0O2J5pVzA0X0WY96F3HUUyRAASk1/RS1CqEo2G6Ba6RT6y9KHMtuNQswtCTf0sSF+9M1q8ieEaQa
MYF63eAOlWT0Gnl7bB3ptgswYUopRG8trGZC1TWuAeEVVHTc3AeQqNN8AV3Mqsfv59jxtap1LtBB
nLVO9ymR8eVHo/kcx86DoSQvVhttpWHcQMoQJhf4uSo3iKPSZV65DUZxnetGeRYmSPVSy/LCIux5
WIeHLia+qexFu7R77odlTfeJ6RNyifS4i/MnXSGrqKvk2yRIoREQgzVIdgQ8sYFSIz03kn0v2SPe
MUzCHBXpbmGicKalNZmFumw0HLblSzwiOdPIbEruhkPOqrgxgp7uqUlzsXTS5DaRNWdrTODbTa2/
EUJFPls+ZSBko6RMF2lRfsWNNC/KUbBsG5g5Sd/sWiwtn3S98VIT/3VtfpyzpzBNjPF5VuC0lqSr
qo2dWSSN2M3zs6rwOvpsksUOqnLKwq1T9G+AW4iOKYmexA1dGxkyco5LFkntjM2FFlI1Kqy70Dae
COQQC6Y1gf5BITWldLtw3KHE/8whbEcWyRn9k/ug1eN5zrmqcmUZl8pVoWhbDKlX42h5phR8VBPU
c7YBv00mx4iMdss+jsSoT3WzIvHH9Z3xK0gGNDxW7CUoLpfE57iJUBdWXWHVgOVTld3esoplJRL6
5QBkYaH1+FBp5ca2BJFJOoxN9TGLCB/z1ZqklXCliuGTVD8ZLU9iZ1orTY+tDIdITw/f8Xv093E7
StJSxs/z0Qq6YS1EpbpxMKiuYZdNuU807S4rdOka6/fS6vJAdtOYeWuRFHqJEdOYtHUDDt21ia8H
lZt9TNBUVE1/1/fpx1pI96BitUu5NaYjC55YVan4LFRlG1ba18G3D4LAeCd1MJlksGoMpKFeJDrO
zHFKSs2UOTd6Zo8XQRZeR0HwJVYrye0T5HIVOAh08g2pmDk0Kb0J73OVX7EPb6gLx56jSWdtV9+1
SjEBE9KylT8nnRIvRXMzYu1xnYQ5oJVSwsfacjpI2JRvzBgw0zhi4w2qAlhGpddYpurW0xsr2zCa
bU+kjaebHdIqpenX8GfIRMNMjOuSoKIuLUk2auByAdoxNn3qKBtk+Ecjaa7YHs8IinXczdp6yX+M
MJzDSFVucAncVcpwHRiVuXX09m62F8/2Kf+daI65PHKy6BL+as8r7ozhn/0lb082ZtqW5DuL9ljY
PdCZQ2zfmHxqA6MDncE3+57jt3d9q03+eRfBNmU2qZiKhvwJz4pinVQIavLoG7Wv+6PtL/3koxiR
0LzTAHjvEvPfv6mD9KlI075N+2PJwBwhW4fdg15e/x98DwePjMXeSlFfxFdvLlKHSTLEed8ftepG
UD2Q9lK3/fMl/v6zcKveXOKkztvAaQoQIPdH4rUysZqyBpviIbc+x+M7Vzop7337Ud5caf4kb75M
GnZGZjZ8GUHdSskB0qlnbQYeBcf62UQh6c9fbP7gPz9vig2/w9A1WdMcNKE/Xw77JTriRukxb9wp
s0rAvAnC3ZjdvVzm37OGwaD5/VnjI0WW9lcGifllr0cNKiqmpqpIEWXlL1T961ED74RhESyqGbjA
5J+KLTpcVAWhHK4K7BAviaQ/DBKIZkl7wjeBPGr+q//EUeMF1qLQhEYGYcxmxJ8fkEGWgq6q8nY/
jYkrKmRTJFISUfPOc8hg/elJnFvRnDMwpimzyJB4hZOpQkmRW5ixXu5Zipxb7AVwEzIwH9PGtm2j
crUmb/VtXfvTdayiNaFzrn+KbSu4L4vYPoPP4ewUK8PWbFXGcAxHDQB30RWeOQagI+Cv1dpDNwjT
Pva+6Do0PAiUmOkjtkpSemBDUivshEt2SUWftgiqpAC1elT7+V2UjM7SsKcKq1f+aKR6v7f0Mj3o
rUwUu1ImKWodHxdbisdWSmfrhRX1hXaQu9mS0aXxoZpdGhk2NDd0jnDkngx8HLkIVj6+DgsPRI7P
w5gNH6rMtwD0snR0f+VkS2PItv44ClT2uG5rLCNsd55DwA4TVhIFS0mrddfprIdiTxffY5uqvbmZ
fgGzsdqL2jDP0si5KCHOEZSl0h2QJO1ZJ+50o/uhvCeVjZJ0R4J4BEAPbIF9AcBlT1pe702q3XlB
NKnrJrduR0W6Q7vCvjgOEVE2TaBai1ZDzRJQyVmqtgzKRp/folFXSmJWt+zCoaSZdh5e1UEn4WtR
qqUzyMOdntIXplaIWqtOOAboUjV6MVpMYTb2WSgpyjtrqzovaD8mu5dHjJAGmXwHMk6w5JyWDcdK
BMFgV/t6mX3ucd1dT9fWQqJxg+N6Q6hB6AVLTBPLakn/5Az8+1Ld+O57SWkv6SA/PseL6tgiyQCY
Hdk++PlPVhPKfn0b1GGx99XgjBrf4CYo3tn060h+rcRZis4nFF014Sf6tnwRWJV/pvAbmYnI3NFi
Q+bLIye96YF0dGdVk6yIUq5ckav5YBlogWMfNIs/DZ9ECgNOrcixtOpY8wbUhwslxDBj4I8G9bEm
xsSNKRUK3fbnNMPNpAH9UNU1cmBlIRowQJEDJijLIR3qXgEvgHNvuexJMlB9XMxJHileV0aLLMPw
xyDe94OjrUWAcg790G1AEK2iZRftYMsLyS7XcsKDZjkCyaocv7MV+HkS+UtvIFOEpmxB7eY0csqZ
1N4pQR7u5S6L10wEHLUrXJwwn5aQNfH3iPcE0r/ueL255smvKQ2dVXVJUBOgqVEkrCgZBoU31dZG
zwiHElBtAxOjiSXQAabAzAw9H88nLAMLWzLOCXy8kyMqFV0tPYMeWpVCoLk1L2V/ejQC8QCyGOFm
LspvncR/12Sdcf37NfmbddFNf21c5KWv67KqfKAEC3kcYDg9kLnT8bouqyp/ReeBJgfrLxFQP5og
dE5sUtUo8X0jpvGEvq7L5gdIuJqK3ZG6Iu0V+5+sy78wFtoyJBAZW7lhcLXTIqClBEqaVkZBDCJV
furgBET0JAcOkL4W6hAoSI2TVaoRX5vBjiXxObzPHGu2dZP52qyLFNJQK7axIWF39pcyHhTOjlZx
TjBpcYij6uMo63e2A5TUrkfmG6lZdmNyY1b+IZYbNOVJgAq7iK3LIdCmgMDR2aWbUtYuPDDN8lKB
kzDNwARnRieExFG7iUGuQC43oRtBWJhm1IISwIWGvTD5QKudGcdAQEbmSRAahhnVMI5AjUy4Ql44
gxy6Tr7lZOdZ8bjsZ9RD4+hohF/wD3AgzBkIUc5oCDFDIqAIFQv5BRyRx49O5NjLcYZKtBkJmCmc
CSjX/jad0RNULJcFbu41pNJ0ZxhSf+5HIZEGTH4gJuLbSGT0ldIGGRoWwQJ40UyzQGQOOdZsb6pI
YM9JxK1pBYdSKD2Szf5cHyKx0oTfLohVbb1c4iTU6zJJsySTLxLRXhB/TnjhWKQrnFdrTMxnRq5+
zOLuyoF3hJKWfKwJQb+lCYwGSfS1U7SLIJ/2k0q8McUyDYJQdZc2kuu3BXFBUXnehiS9YBVwXPYB
rjQNjVvMmJO6iDUKfywFqWpu48a8THyibzWOgZ46BUvBYX7VS8WjUEn/UOV6r2pUyoS0LuTsPMui
g5K2O03DfEh7eSc6nhm/rY8iIrLBTrg1lCrapT57NPPAJdGGioV2YRlhsmrw77sC4OMmUZCKl9K6
iqVjMhT1xQSMhRCjqHIJdblSTfXCweyxrEZkNXpGRLiakNeqkZaxSHXKu3EiW4u09wmHrm8GZwhX
lMYuAt1/GAWByqlkk1GvmZ7RyB91IR5ijaxkJcXILhoTw0BwGfTKuTLgKwgGdkjO18rsS7JKa+5h
bW4DESkc/I3zpq0PERp+6bIorHR6GoeU+Gfw5E5SfgT4JgDoEVAcTfpFjonlLG6c+yKRrxqj+mqX
o1sJ+k1TsArgnpV1D7RHWlWyuivScB8VxdkQ13sygY9djvUPZ0MLYKrtt6ZvPE+m1JIZ3Wv6OmrR
gUPh6qZr1ZwuAlHVa4WC9iqIDIA3msl1sb+n1bq3pnp2ZUJV046VcV/DSMMz6NzmjrLAQ7arVDYV
WWNs+1BbBOV0bCf2OF0EZcRoL5nsKF83HodstqARPTBf+Eetbs7p+pIWYje7oo2uLMVy/TG4nko6
mGbVQjkYoDaoVcNAgYywdgKFDQy51isN3RC9tGAjMBEvVDW0SV0G2Sa1PDl5CYQmp22yoJB0tAfp
ztLz56KSv2a2mrj0Mj9OOXYYJZlRYwBbDY16q1z5Foje8guuMLCpSXgRDTbThCwfswJkbQsl+wC6
60mbKIrLU//U1nhBMnO4gleITzjvHrC9roQu342RdWGnYoXFBLvbwHix9VoHGBZ8ygcakEmf03oc
11DGPbmsjk4E8MeMV1Ndgm4V/j62sPFEZrIp8tE5syTj1m59jyvjUnT0G0U2VKyLbMgnoZTLcoiH
pZDUi4FhcLQK58oY682Q6pGbp6jmrVRdqCXJJVSe1IVhNRiiKds1Sa27TiQ+h4JuRTNyUDfTdEkA
1XPgPEbglepGu0q4J6wDhBUEsISa1D5m7MJlsOJMYXNZ18dU2k195BKOsg4FpuUoTqGNN9LXiLez
7QTf6xwWbQT7kEPWAudqt9MlJV/yg44bA+/PkKM3z0gQIGFA8Vo73zgDTsrWroLtAHvXl7zE1nYh
uM45d+BBrqdoy3RMdoNuLAKisaVQXKuRvzankYp4aLZAd7D2OkH9iKuRuhwOj8ogmKFjI8Rps+Kp
KUm1Hs51uY5dSRPrloaIkZT7viActVR6Wj7DlTwWS1yD48owrV0h6Cfh7ccfPLarvlWfEoeURkA7
lwQ/xMsppQH1b43jBQUxNz9/v5/a5uMvYvrm17xupBTjg4kwxCEC75Xl8LqRovbBFgYAgY3URJkJ
ad/VJGyk4K2pljmLPRwKAz82UsYHXJs4w9CRENX3j8E4PyulDIqGAG7nz8DxFFmJdlJy07BbYJG2
GtSbZrgqijTyhiKj43Q5qszudC2c0J/MpR52coj6soNVZaDBU4gbUsccQ8YYsWEQdiTGA6YhHI4L
u+2NCif0gEeLInwaamvFogcE7Jxzbw3r3487lT2OU+QPU2W2+tFqW6fKPUsuO303GEZf4znDi1R/
tqammiZipHwLBuswVJ2DJYuojXVcl85FKOQQd38FabPv9VtRsJvAE0fYWZFgC01iGpCi73akoo4r
glwwhaRJe6WYSf9Fzg2jJE0vDL50ejWs0pplnumsoOFVMLtJhr4iWS3coOxh82P32ghbTvW3IOP7
iyS3+r0Sd/M0VT4XPXE0KDLU6rMdwYRJG1jlbgjxfhsacXOj9pxeuYPGoz2lzroL054+YQD3cYrW
KbS3KxCgKQzQQOB9lzlt2gq4G6NpiAoxZZRshA6ukhZmml4qZbmoa9L2aNJqX/iZmg0nLaKelBIh
h+OE6gOwuekYThPMuERt1S9AHI1dK+pgO1IMukMhomGwVkkewHrgTXbWHto2eeSW5luBQONaqSM5
dWNZti/0nlgG7PzhHp9q4AWjEe2NqK7XjpNWy3hy7P2ESQ9GRE7fYsyQf0LZeQRpnp6TvlV/bLOi
XdVOnJPrGKlgNxSgrWZYJ6vRAcypUJi6pG0orehq1kct0koPkVGxI6iA/UWdnMH7n5YYt+2VMMbh
udfDdGOXWXA2cK7ls8WWdBH5pnyWRXVauCyyrAFNC2RgtOHxBSSh6MQaLgajYvmYSHo9SyvJ/Ejz
8xOxjuq5yuH8wMf3V1KS6Rd1obKtrSr5ME7hcJbafbwNIlyC7HtjmnLleBVWdu91dS+WY9QOy6Cb
/FUt6jrw/p1Zv82saCp+P7PunqpfIMcUXvN9ZrU+mNQ5sTSB4f42fb7OrHC7IaUq+oy3oRRiMR+/
6vSYPl+kI2i76f9Y88Hx9YiqM7M6CuFdhoHxCLjOPzmivqj4f9S55nobXSwFnQq4HqrHpypYSykD
WQknXLy1ReQkUYWEI0IdQU+mO2ursz/DV+xXYia7KhzydOksq+125mlHanwfqaTAHEK/4JAKYwox
FrBmTpVEJ7bWsaQh3x8R2e5LLYluiG0gfS5k40X+3QT2Ow3jBy01mMTzkXh7TLHKMqBrB4CDDXfk
qfoUrpqXp1XM1u6t7ksZSYhKY6X1PVCcmMbtQMweCRBaa4KkRe/HTuUsy/qpuA6oh0toSfyYpnoR
AE3WAohkFlETQ8cZoyr6eC0l0K77mfjaJaay7AcxUf4yq49TF7YKsInRnJZa3WIWHlUHKnHakkFx
UVq+BC9LLyUic8rJvGhHqoVeSVXoOjLNGf9nlWRSgHRbK2WYNNdI28n7NOeS9ICCUV0Liz+PQV3c
Tf1MIy/JQoxRG4aFtSUfS5OX/w7RlyGqUc77/RClmPTfVghqH6P68Re7oPnFr2N1rhlRTbJ1VFVz
JPHbcpL2gX4IxZxZIYvblCbc61i1PmDiRDRG2eP1Va9jlbHPtmX2xxOcR+Pzn4UVn5bGubyOeI3/
8aaI1H5u8xgpi1zsV9Nhaj4JKsHt1LzT4Znf4cdkQLeZd5WZWUxddVQuMRfn3zQ2p9I3y6HUlEM9
SGClVkYaAR//Spv+zQ/wi672/D5/us5JH6mQlFJUkUEgACc0pTrvra9/vsBLP/lPVzjZLwYA3VU4
E8pBHaxFp99a8Lyl0XUkckS6JbJqt+7uy3bTRsem8BdK9BSHqyA4qsVlk18HfQm3Z2cSM2xDaQr0
yza+7jl9Dk72zq2YN91/vBc8WG/vuRZJftNX873Qlv5EmHD5qSUzFrTGoZ8rSxSEovHZIpJM8K+k
y3w7Ev1W9G/NFzi9VcRFGWge6eghaf35A+R0zZtOtsYD4jzM7woAxvNEVzV4WIjRShdhYd5uY3Jx
q6FeGG1/paS9CZicQKBOlibQCSSvqWUrd0RyzdAf+q3rNLtTM+2MUNMaLq8UK7eDRrlfSxwIVL4N
FyWOlxUcnZL4BLUTK6UZva4Z1+F06MxomQW4DIREDu+0rgbnmKlHf4pXfntX+ymdrJs6mDtgKRBH
0mMQ3qrkJVGFdS1IGCOZNolxU1Cm90zQ3pMga46gmlZpzy2ZFhzWf3FX02IZJY0deQ6SSL8EvxsP
2bojzvqW48Ci1AAxFM5No5seJOFFPHPAjSjQPT0StifbYMqLJL1HVk1jBQmyAwPGI/D1HY/Uiz//
xy/EGv3zwD9tu7KthdY41NNBXmsbfzudN5+0tb2tDpwwztlTu0QHeY4LOw5P0xnQXW+4l7YU89by
2ryIVvE77I+TDs7fpgl2O28fWR1Yo5XNj2yRbGGogWCrcDethPzOdPSrJ/PtdHQy4RFnOaVhyHWQ
N6Y3w1cRuFHrknxh+u8MgllG/MdBcNJ2RNSWVpoTqYdQc2PqnV47UEBe9JQxKc8e+ve+2q9mQNoL
KDpmjTAW759vIRb1wbJSTaWlTat3+tJJxz/PgPMb/Hhmvk3lby9wcu9IjLLyLlDVQ915LSCWXkLk
+26X9J2LnMyyzuBQIIKgfXC63STOGvNGNR/+/D1+tSS9/R4n0+PIWo2ZwFAPM79lSEkiMSm57x1c
2y8X+q9utV1E4GLq4rn5H/M7PxYkMkVB2PzPn/9Yf/tz8FTM3p6f/rB8CfK5bCHWXj3VbcpLv83V
83/5v/uXfzmDbsYSt9Dnr1mUe1HdVNFjw/LydBIVpPDw/X57tIvyoP71i163RUhcEMUbHFUUU/3b
EQYigWyiTmNbMi/Dr7sikyYb/9BEJzb95Zjy/QQz14bYRFkqpOV5x/SPnEYv3KkfT/p8goEySpgx
whfsS7J+MhspvtaMSWkZ+3CStOqW2NyUXlA+ZooXhlJrLWxYv9FFbSfaXYkaHrZxn17KkuY6ZHJm
ZAkOTeQ2WJWgRtlmLbZZUWFJtDptZkTRkl+iaDmjWN2HqFiLKbksCAYuAe2TmP4w0N9CxKvtRzMX
nj6nCVPSJtlVhF8gypAyI5M5jD8gpPotuQNxxMjWEzdTk5Fwnvo6VPw7yhmEFxdyTC5j+hJqnKQF
LMI56bgD3k/qcci7mm7Rwki/0KXR3IxhvIngGxJon/ZLucnZLORd+QWM1kPQ0StrzMxH95KvIN33
bpHFGxFLmyiijTNU+RdZwxqTUo2FN5XdRoH0qF6U+XhR6Ik3aBa3J50Q1ab+jSLsywyWkTN263i6
VBrztu/qT5AUlzoJms635eW/eiSun4rZLVf/PPL+Xx6I83769wPxOnqqfqVDm1/1OhLnpC/OEsC4
kJ8anCne9LuVDxw0VJ40xWD7/tb053ywLKhtdMI5OODJ4w1fDyjwyx30Z8hYEdvoc5f8dTo6fhtj
zGS/3UoCBP5pQWAswuhlprDouSMQ45Ty87JGHnMWqkUkHygm8zhm05zK+FAEX2UH4Qrb2crMzyMb
AVbUO+p5X/L/V6p1MJX80GI845G6Stv2oa4nl+iiYV0n4V1eGWtB/0TLbfRRPL21dQ9aHSzonHJr
JTCuKV3QhYD3GbS35ZDfsGUVi9ahMigEbWiY1Pd+HHnMUzuDmJlMEZ+nEO1mPN2puiTcbGjOQoMW
yhBbbjJFm7rF0hLn050SWJsey5kLcOs4WOF9nOW3k12cO7G4Q/WXLRJDfZb6/BPCu4+JkgFUbRGa
O9JqsqYjQnLEV6Jcl07cur1D7m7UmAvNx8dh+f22IY6BHCl7ERAjZQkaj3VnL8bM/ih6lbTeZgSN
3iZkDfv6LpYpGsa9tDF7ZDIKkJ5NK43rQoeEonRYH82rvmyvxiarblNj/JyWdKJMYZ8FofxJzoyd
LZPSWcrDRZCUBiZBiMBGnG8aqscoYtqdrtdb0wH7IXzjbFS+1qQJBX57O6IUwE6Ikmiye/i9MOZS
OsapRWSoxREOeeQtYR8Y3GW9cyUkcU2NGXLsO3MpD+Mmrsc1rLJl2UXnbc09C4JU9/oxiM1qkcRN
V+2bocEm6kOYXzcGHdNdU0Qw1vRSbraFzUzTWGQ+KmS3xtDE5QosaTRnl9UvOWZpJ3o65YbaeOZL
0tlAF5FgVbWARJjqdMJopbml7lxkrRBLxAOP+Zyehn5B9bD/cHyYs9XApXn9VD8C2KWXl4hnTk0s
ClBu4VlNC2vOaAsM6JdTOe4szdpLoWq7jVryHjKZ8lJ4lw76fW6T+dYN3XU5p8A5cx6cLoyv5K0+
q+PwRKdgXHRExwWmzqNAmBwEK2QGtbqr5py5uCdxTje646DOGXROstHD6t5OjGalEZ+8NAisG5vZ
v6SbYPit/mttq/0iTwm6HrOG3OWIzDt5Tr9LA2kf3KedlxOLlw/xV52kPIPEPJXGPz6BnZnn67go
L4n6CJchGXuljkXIJHUvJX3P0h2agrL5yS+zlHhWf2Er/Sciey8xirkA5+vzvr6nPVGTnyEVOESs
KfJ4q2EhE24jkahJ5m+6kKSQVkM1dIu25xePQzJcxyLYJmG4m8x8P1Xl2ZCXz6ajV26qd5QexJhU
j/9Xdnj//60rM/Li9+vK+efk6Rf7O17zfVVRP/B8MmUSBkkFeMYCfC9Rax/o+LFR05jMTf6LHxs8
dM821QImfP5Sftn7va4qqKXp/VFPJohJIxrtH60q2glOYz7/vpS8WDOIkZIBzv+8qjiaSjFU5MYh
6dJgRw6M8K+HIcmBEalRsu511DWjpQcueDd0sGm61StsZzPneJP4OOWyUUWe38sOhu7Ulldz1hjc
awP3IPnGtoGNsEdLtUhgdktObFxY82Q2pDL4yICOeJOsnMl+MmIwi93YE+Pi6xNZDmGwy4d+F+fp
SrI7wN9q3F41Xb1Vu8F8SAcnX9RxCBmcPOFULtBtluteDa6EgspIJobSq1W8XXlWbZpJ2Tu182T5
JNlp9gH08Rb3yXUEBlgq6jspsMtd7hc7ETrbKtSjLWR39EQBEujwOlON2yCyiQay2WfqiVbSGAvu
aUxtNbtcxrJ/Twz657kiRlINOtak6fp1HUZ8Zt2a56DOrSpkqMgddmIWcCSVSvZFuhdE/yLkCC5E
pn+uwubQTPlzM3P0nKZwp6JnYfDLs8xKLDcrmo3hUBnBFsGugygMlCHLRMW4SVHR06zxbPKlO7sK
L8de9wkbirdtgGhIWPX0v9g7j+zIjbXbTuVNALUCPtB8CaTPpDciO1gki4T3HqP/N1iqK8pc3aW+
OlKDRZvIiM+csw/VJeW1XCLqVR/mIpJUlpFPCYsBVm7gYfV63gQTMW5BGb41GSTOiTQ+L1enrQUx
FlaNvkWScpGXnOlDmwLUquuH0g+NtV5/dNYkdlZiOaQcVmTsmkiMbPVDGRuudse5rNKOMM0IN1dv
V3eylspJAfyZmPV1GjQ7p68R90ARiNvSds2ABK5RBNPzlM8HGRjfbRaVCwobxkExPxmcZ2ZgPI9i
vq4wRPW1+jSUxLbXLQ76zECIPiAhLjGRZ/a0S5qRMshQIQV1w/soEWZBNQ/csAw2sda9ETLFCtXU
N3afvE0UcaQi1iS9a5HVvPZYR06sonE8ZkuqRotNOPWGJWuD39/aEdAMWd83I8I4elJlIKZJW6lX
GaeBJzQb81+F6I9rmL/4TAAIKYWtR9xjtHEUokCJ2gQ1TnsS7qZeXM68Ga4nGdvbRJHDdcm+dkUL
dND1WHeJ917p1XJvR6VyGQeBvrJHUax1nrYVY0Kwtok6ERKiR+MeJ6S5go0dHaQcZ1ZN5rAmZr3F
WjyQwYf6H1j3mxTBZdUHGLk09ax3SLVsx7kmJyfwmjS+qCxUzZr6yEZ/uq1VJXkiM4uBY5WxoFVH
T/Xrci1bHsja0hMSrQHBGS0NUI5oUWc/v0LByXOjETJg54KScIBwnBnGegygxdnKdE60fp04eDi7
qg4hiWNu1KLmte6UraqT7tTr9T630FeRS3BQKMIPapBK6OlIhAgcr581VmkrM6f+6YLeWjE8ZPoZ
2qTRo4DcQEzO3LmdAbWq2i9xluEnaPi3Qz3IbT4j3koSUL9F1iLXU2LBmqoqwMcvr69vASo2/GPl
hNt0GC4i3lHuMHcHssKuw4HfWiggbYLiqE4gWTNAiIVDSnU812y3HUiToY1kT3a8QrC3SjbdbRxO
mywH62dGgNBj23ELSeUYdEzDSrGNzORJ9PW2U5rbOen7FfpWzN8Dcnw1OTddHWwmdJtuZNdbvyx3
Vtd8BLq/MDiKziuVlDcs3ksN5n92lzVxenLC/irnL7oqjMhZZwViooD0ONQIj7TUm8EoyfmV72Oh
oY4rsgMeDfbY6rhljXH7b4XwY0P2txXCsiHzovfgr7ZjX8oE1fqG1prrHOgAq7Blk/GzTFBtEqNN
pNPc9RD2Fk7NzzmQ/o0LnHPEtpHwIOP50nxq30zd4DljcmN/ioT+SfOJIfIPzSfxNUxUPzNngHvb
Yvn4l+1VFMdhE6atfsbNwRMIYb8FSNxZZoLeIhtKtNf9jA9gZYhSGz0gtfNtV8CHDNEv6l1svyRh
jocJRphAjmqnqno1qA2wg7ifymrV9LlzyR03HwK9S6N91U7anU4KkrlXG1ErK8dRiHH3df+QTJaA
zUo0o3ob2U5qwHyd0+bNyQNrONc6AuLrpaTurTx993tc1kUedanbGbKLtyKW6sZBq9TftNXU7g3o
/yBr5zCZ15hKuufZsDv6xyoUR21B6tRVxc2T5wM1/OiwD6jqdt2JKTqa7WScfH8u8aY6vvPSNTlq
aaPyB05cw5pdmCXdVaiZL9OUP9tJ8BZbRram8KdRtMz3ss3e6QjVlvDDyviOV9uVS+JWFQz7fBbm
pk2U7nmwAouwMREhW0w61SXBl9jcqJWPKsQBdLiD/zZGVr9r9ByhEWb7k5JoGRrj2r6wq27cz2VZ
bel5CrfuWWtmCR4szNNIleqOYqL3CbZoSg/XkdsMje/JNjvKzqEs8Gv7PJnmvE8MSDwRiPCVwXFo
IwRf1QFdks5t5RYwAImaSrxSOu/SCJWt7OddqjqXOtig7eQPQCChHK4CH3JCY2B9Cg0faekMGd7i
+FWdcdW1RGhwF2PoRqstQkxBTmqOHkpIcx0rpXYpgiS5BV2k3+SWlb/HwmAfU0X5I3blGqBN9T1n
y/avSeRHXOzyDv/vfc1yaq2Q37zU36P8r44uPvtnh6Ma35ia4fpg16IvcsTfHV1SaNIyBAFY2JMZ
H/88ukxy/7B8Qt21F3nOVxGO/k3aSHPg8v46+v5HR5e2rJe+zrCxmgimc1B+8b6xFVo+/uXockZT
QRKnhxdKIjXP7PEuy3nS91Y/Vc99rU9Qy/F5IeTGoG3jF5jhmPtD1cT3U5zEpCXDnrggSc3wMCEF
o2AsIPrrcZBA4DtgYcA3ApQtHSSKtI9xmlQAwjD96Z9jm8RWq3lP61UHzbblkg5vZdsuJVuLuzJX
MHWvOMDiu6xI+3sDR7KGiUJMzK4lQT4aJ++mLDEuFlC1GEwzQkjR/zzkaq90bGPb/qHMYNJTxJYz
mIGc7Co0xFXu0qnIKz3pyyc9q+InxSzNHYc7ikO1T/1L7LiBXKUwRqA8VLJzM1bktDwRG0Cn0Pag
FDKXQOjuLBQ7u7CtvL/JENesa9JXDIqQvGdEBqOlSyv5rJFxOrsOHgeEy3VnYaWWEfj9GGDjjYJS
e6YQy6JdWtvzW6YpuhcGxtTk7iQqk3SJzjHj0l8Zekfcnez1dmvWvCCNF41K/9RGRPWhPGUoZcRq
hwo1/qFJnX8oVKdBn2dn5wSSfzaVdbC1MehcN3WPCMrJm2sHCdYmTtGSrVIwB3dcWReO3pTDVfGp
psqx+Yp10CxDvOBTcRV+qq+AyMRPCTgzXBZdSp1mdQkNbS6idCf0vMU+KUs/3leEko50apExvFuD
DN4dIle2Xav7mzQKi8VEiEm0URqQFEptoxGPml/oGMv6slLIdrF+6k3+nfRrHDD//eS6eClf/jyR
WT7n53mFEEngjV48sEu6KCy+/5RafIixIAcWwxD7c2L/n/NKfuMYowKymcdg0V70hL9NZNgKLDF9
+q/V2z85r5j8/OG84kRc9gWE8QC3AsFFlfj1vKqrJuOy1ubLsmwympEWUCgmD5I6p3s1rrb+Eiw8
qJXnl92r6PznyEI7gVwYHp6felWi3DtEXQChOpszBZbZZssaq12JILq0onQz+fIKvhsQOLXT1tUg
tsnonAcdL2ZWbGXg7LpYw+FGZKa0WFPVATMcsoJJ5kDD2+rqu2LlR7Zu6Kx7IzjbVrL4tSH9yMpc
T1prripcZOQw7AWgQReixwNDiqtGSy9Np41WXZ0TWqD36UNiTSRy4W6ZTOcaew7qoMTNAYx5kxmT
rZcWREe1xvtQBDGov64kl5HvM5n9dlbqwCVX1CX4eZcpidgEo1p77OvCdQujrsUGUh46qoa1Vg4Y
3jTb8bDVu1FqUgCmrwGxZMt2c1X2zZb+MwLKbcTbkV3gxhYI4YdkV+c5zWpL/gwRHLWRqnttKo66
SKODqpgHH8+LK2tBCk9in4akKFxnsG4rNbI2k6xbV8l7fgunNi5BSu/zoSMsYXasldmY6R5BHKkR
uquT/EeIof+M7OYuVqS5jxR9Z0z+O5Iy4FPGSNFnZV5jkhylFUxxFMPYFSGhSFWSibtJIoe3R3Of
5fnoGUF5Qyz3bsSM4IZmoroBx7tb4OPfW0NPZJngBCMbYBPlTbfGnjgxpEjpooPkrVZzhjSVSoyz
Mms3TkXOx2wm69CU0ZY4odBTWpX0lM9xX7pM/mAz5XtrmQYGkmyGATLZvmRUOC4zw36ZHlqaHW/b
wkyrXU12hH8rB0nkqhV+D5SCAYKfOIe5xPiipvW+roK7RjDHFq22M5SydbPWWuMLM9c9zCzZ58Ux
l/UZ6ftHMWKDMeaB/Pb+l7Jh+mLN0UOn4RKMGLm6vV/+0jdSrJmAnbp8xL4nDLeW8fXcyh4COwOd
wTzns+QtoTy0g0rmyjDvuML5qQPjEh7jtqNdMCMk9OQRFCAsm21sayd4j7gqnfYZWd9lL5J7LHgV
Pgd/H2iVue1ZE3HzVdG6jgkei8L8xRHJOQzYUadBuKabO+eps2uXonywsR/50T0aOrojhXyBWBPf
9ah86BPpKUE6rWpkxi99ba6x9DwxYwlXQ4tCi5BfV52s5Bpo1XNbopMnEQQD3HEyS1I7jCPcAgru
wrwci0I7k+7CpLRK16VtHfWRQMWaWA1FC29I9ltskxPjlLtEWRuTPJYRM6oeAY0f4krMS+Uu6m0V
J1Z6LUmocdn+PJVKexNbne/mCkYD0y9cS29Z9JBsE8VrRbF2cwMmiDqnckXdOG4NATQNnTNjpj3z
tsuIVrIzeNXB8Bx7mwlbks3PjgWrjD2bS2QttUG8ShXApDjrT90w750yesWdJ1a+qnoyG5xVGcW3
bWq+OjVghm7Eg5FX9kOgYMZTM583MYk8MLNaYu85Cxmcpuw+c23KfvAV/r1xkdb+zY17emma978S
6n+5c1G5LAMKphefm/BF4ftzvIHNHFM4Y41f5b9crL/2CIb6jaUJzhYTSATsrWUj//POZe2OlJav
yCoELcw/85J/9ii/6xFMGDOawX8BryDN/czj+tIj9J0zKuhXhksKycZeh73PKrRbtqLBBDoh1fxj
Oydku05x3ycPaqcSJcY4J2r35QwPdey5KE8NWK55HY9aO68JDMwp+4Zct8y30RogE6Zl7c/rNqgZ
4mJX2o2WGjgfjsjU9nZqGjiKbWTTGPsTtayXlsWyz6OhRwtfWYE2k0OaDJgZZ/SrlNcd990604J6
XmPFz4hikZ+mmUTddiKRclv3gWHep6oSWhubQSp+AkaquWW0u1Lpp92oT138Mehy3AQx1qN1EMQ0
R8tMace6MjgovkxfI+LCoakAi1tN5dSvlRSjVZ9FbCBCqhKRKXD58Hq99kv+1jxn+rZFXhAyfg6M
rTmFH9agYHDN5Qe7HGPVZnBa7JKPQdYlqLRH0DraxXAMg7KhqmBsHERs+tOWjCocOohpbHIeNLVN
ai/TIBvXQhGIhzD2gkEWO1kbzCb8IX9R5eIpmovgUNZKemUs+OB0VJ2tLPP3xCb9U091oozC3tg2
RRutRZNbLKbwQxpml14lAgZi5ZCPVhI+mFXVsJZKwY5K6u9hoxQ71EI8Fn2qr5DQVuu6CGw0c8or
tU+ws+a0Q+FbyG0I09geSCkqNZZANk72xhsA9PA7afa2KLLm4Jgi9jQljHHfIkwOCqs4JISYRV0s
PLaCXMf2MF07jm9uB6fI1k0XkmwyZAkLFwMIcUcrlM81P6bUf0nzRGOwG4MgqIET+4NNBiXsoBWX
AloNKG7Ypa3qGuwi0fDB0F7bEbO6eVIrkKETSETcTtjvhTOuwTkPy5AGILRqdyQNN9XaH/Nkx/UM
Hs6Pf1Vp/3tsqkg2/3ujciqa//f/IZGn782f+5XlU3/2K8x/CbbBncApaaPB40M/z07sowCwFpwP
sBfcFb+dnbrxDUYuFD3oZux2lzXxf85O7dP/xLFqYq1gNvyPjBNLN/J1uoJdA54vox3bJqbQFn/o
VgBQsVDJUY122Xo2bcqFrVE9fvnD/KqF+grqg/D3F9+F7goQMfor1jz8Db72RJXP4tmczfiiLeIo
9QrmpOEKgAQEbV1L1rHe1Dj+NPVkLxzvbiF6p7N/7Fmw3ogyvE4judXMMDoNQrAdpnZ3VdlB8VQj
wpbAhQ9atu96nPQLV7tTT2IerptJO1dgxsdav8S6dRAx5Uu2kMhjUTkbezle/I60Qgaj39URfqm1
MMzjNhnZ3HQfKG1qKBAWqPP6E3vu8/njQkKfRtawh0GZiQMaRttrl7lAvEwIwG1zayRtDr9VMx78
ZYpgp6b+rGUKwaBMuraRSEKiORE+paAEqoS8PxUkpGRmRJ73MowgBJnBRK+Thzo1E8ucZWYxWjIM
V61e6vJh1ioLGLCWbmsFysNWLQbwmW7J4N+u3M7M2smnowSMIitNOfP1S6/5VFPBFC2UfCvZJ3lU
fujyFz9bzaxnp6dGcug+AWN8P2Bj5id4jIYJCBnk3pvC/gSTqbj0q4VW5tSWfYA7Gzwt/fpjb4fY
4wCe3RqfqDOJexcSu2ZSkktuZAAlQ+PcFwWsAwtz2FrphOFp5RgS70tsIGyrad9rZk80Z2evW/7m
p9yfm5cGKcE49WimRqmtnCraKwBg1xgKUZISBH4z92z1xJSuGcY7N3hbqXPjMPLk5NAGlhme4wRU
WgEgvYoeZWb2J1663rOqaF7DfNCQGrC5HNMxOlgzUcg2S9EtUYiqmztQXBqybMmorZqtpfe7wcjB
3Y5ac01wqsoNk52jPD33dUNEVR1dG4W5l2FHbpWV7oqIuXqgi6vGGW5b1e7vg36UH5CXUT8knjWM
1kcRdeiOcEf4lXonlG4TWC3Z3kWydpRsk0h2kiO72cYqvzdN+04q1PsUTw8IVr1a7w8OmfYcIAiS
5q0xivME8Ex32h3+SChNzDbr/lWYHSIFZZMOKvcPYb3d9JazPAiKN190qjdYqc4tHvBDmP2TaUWv
6WwZa6tJmgP76WClDPNJy7S9Hmhnq+y8oUueSl4+uA1sLaW99ntrE2hy14n5afSbdZBB6qpEhZwv
wB7c5AJQjxp76sS607av+B1vzI7IzTGaA9QIpIsbvYjOoWEleK616zbNmzN5msdAG3mYW3WbVsxu
E5+7UWbT0eFNJAj81AjUHaU8yVKHVVM8KnMLpMe+7bTgmnnvCfO522vOKev669BBC6GVaw3BI9XS
uNIm5IPEUZIOWtP8B7W4SJTkuUjU5zLJDlGTQDqRh7hTryHYwJwB+0wCsmnEbpVW03G2bWoxigTi
zN8qglsZg3pOzd49HBGczcOBwelEsm6eH1pZfM8m0B9KCINiCtLcM0c92VZOuSWtV7mZJ6Xa/P3J
C2nxzycvDtpPqDtzL/7/+5M3nNSsmaw0uiiqRFv3qTNB2Z0SL8v69NRm+uDZvb8JijCjaprfMZ81
11WViDs5y3RVjONNV8cnMbLvcexHMbbbKrQ+8iQOvLIEKR3E8MHQj2yKmWeabAm38M3GHShIWaWB
CLBlu+uL4pW5cedGcfOg2WG17lW4ukwyilWau0PlNuMeCiH6C1JA1bjeakZ/lWrFtsns71Oa3UI4
P3R+cpyb9FB12skui5MkpIIJwFR4zRTttDE0Ma5FruUrxSZkEhSwqfUa0dwYE3u3MrQOInR4X2N0
hXbO2i6ux3vC7A3yFRC4aJN2aURzDkKX8IwxSs59OV+ETbxPBnNrst7zorTa+3lCirBcKDQy2OAl
X5tBeUqDjGVYrl1G6XBMu4wsCw3oecnYvJiaTRHXl0mc3sCxRWSR96lnoWZ09aUNruurSMeJks1I
omjp743JqGgwImYO9jFa0HQjD6hE4pMk1fekElu1zAAjqOhtJy/TLRdt4G7gHNKb4nvh2CdRCcSY
jvLdJ+F4VWoVY29IBEmaqXtWcZxl7SmyrV80kW6EQLgpEYdMmaa6qFETQBHBpT4TNJKHQJSMMpY7
LYu7hwIe1JFFXX1OqWT3f/+o/mlDzeaZVbe0IX6Ct3b+UCIguxgAQ2TRhc9cT48Ptdat/v47UDJ9
KXX4kjo7JBR0jrkEPMnFiP61CGGdk7OmD4KLFGmoYl1GXUTWxk3NPjauUzeywOjE67//nj8sgr8V
WH/+rn/YvHdl0paGrihnMZG5qGkLDyy/5Vb8he6OPBQMD24rzUfL1/d9lyeIY1tGJjmp30KLiGap
518KxT5FrYExMws3qTOorzI0bC8T8b3FCMUjMPRop8aT5SfjQU11q+Npyot1N9v5WpZK5aklyGs7
n6Z9N9r6a5HH7QaZnr6OougNr1W9roQVepzAk9cyX3dpqW87I52RMiX3aHO0fRaQmzC135G97LiU
7pq63lgsnFeaGe90MD1I6ahQ0gHZ7DR3wq0yC5XMYNJCReONFuaIb8lNqXQW4qYD5LzpP6pm0FZN
Ge1rQ9khfLsb5/jREMnBbAskYQnFWuTrQCzaKOchNvfJHB/Rvnn55KNJxvbLBZNwyorHXkz84zg7
y3Dc5vVAWvDMEyzWSRuQ+U5vXcSZhGYVS69O/XMJ9icw7Z1asOonweYWyzwFHJOyrmWqrOutcGe7
3SJRZozfFS9WUJ1rkV1XOPlhUKC1Vw+92Su0z/rORj7llap6n0/hbvRHOG91d1Fa3JFxae7p695l
JTrXj4hcMI1tUBone/hfKVXL2vVvn/GlEP8yCBkMSgxt5mmLT/lVcKFsqmP1MGznvbmzTpKrx33T
Btig6jl/Hv5HtNuiZPmLb764LCxNYyW8/HBfvjlWfpkn0lDOpWeu8pPmlhuYRepRebQ3Yi3uLxX3
9NivGUr2L/wnvZhOYnWINv6Fjkv0f/w0v7/4frzvdIwWptQt2ijzD3aLSQyo+NQ4vAjFVUlyXiQe
63/o1f48Ub5+jz+spuc665QwBIVWVO9BvXOm678/Pf7yd0AbhFGMORojrt//QbPRmpEZVlzeylWF
3BxlTFD+OKH+bd+X98Z/b9/PL8SO/EXjzif9bNzZJmLdo3Xn6fl1m/izcdeQfrNM1EBrItbF9vef
oacuv+GQXxgE6CN+FYz/HHra35bEG4OOnhvIoBn+J4tGdNy/e7st0m/JjpGtJvZDR+UL/v7pwNSE
A0MR86WehQ+VnrZuytWyyhdntzpnG1lZWxXntzkpXCrOAxkC7Bk7gioyx7qLpXHWi3af4TWveok7
27YzBK8R1fB9WjjQoTRxHSh5vW+HKMA5kcbKq4bKkBmkqvfhkUT2DCVSLnxobna8a1qq6qyLu2uB
gtQrOut2SJaztZ8uHRN0FDHiXhnOyaoai7tpUh4IQLjXC7NbCQ2JpagBByrTZRjJg0qAzBQ2b/Ws
Q0rLh1UQi5sy1q4cqTxofZN7IYtM0quXKq0mAcfPPyb4nSvW/hvfQAGr1dxuEN8u21p9qdJ4RDqi
d95UhN+rIZu9VtByOKNcB6Id3LII1U0CzAuWkWJM+2GE9YjW9qh29qWeBNjjsWN0tssOzUYrHNLT
aP2x7svHUDhPimGTqZPq16Cr161JSEUEqqiO5/u2HjZ9p5YXqj+ss7L40AS44Tq6cbqyp8fPTmWQ
7dVsekia7qgU/YeozckTygQ0Utc75MIISRUlaVc66MaqIadMDy1XmfDk+Bo3ismxe6kx22USWFE+
tAMpH8Xgtk4dc+XRJGfMc9cySWZy3koV1Kj9Fk54XnTk4Sx3xKoZ6XSltgfwseu6+tJPa8R+1AKw
ueqqZOZsdRneI5JoVmaa7fW2dpvGPLdjkq30QtPcMO83hvBfEwInknRUMHqNXpyPL4GFC56v6RYp
Bq9iScgJEfqGuvIioJAiaWv1FXxEV0XgPyWJPDMm69dSNN0GSoV1SgedkJe8vg0bWnGtzRDsagHT
ANuJPSjEu7BHuNJYqbFOe5uNUqZuqa3bTcrzf9ExOLIVY69UzQMDtZ3otIehhzEYhI3w2kZTuXu0
+MSwv6RiBnITmriZ/D5WVniCDBcDlL+dVFVclKOuXZNJZO+ipN86BpyEIThkSePDdtReuIZMpOFT
dIk6YMD2ZbBCht/aQiZlzp265pC/Tk2x0frolyJQUJSQwhKEvJ5xOoFix+8UgVj4cqj9xejtDzfI
J44AsgN3B55iqEmLWOHLlVzqY5+kiqNeptl9Ynw3Te9/Fu5/8S0cBxEYixdOQprN33+LCUlVg07Q
uEya1y65msq73PlBefj3jlIpof7ujvr+/leu1+Wzfl5SbOYocvCUoo7jVfiq3sMQayKTMUhz08HA
Wbz2P9V7Nq5XHgeqCjTBCzLrt+my9Y3XEvken6D/SMH8g8v171yvhrWUQL+1P1xSEp0CyQjg6hEQ
yuWH+PoAojmYGpiewaXvZIxcM8R6jQmyYqovIJQ8lomyKkd8eXM0HWwYcds8w5pXdDvCJt4Npa8w
hppU70PjshE5gosH8+7E5Iz1bPAU5XrpKVZtQbaPzNIH4XBE+ZHjrPHqvaldGdPOkKSLzqRX+ycr
zT7UOOFeoMeCXfBsOamnMOB6oN0Uu5wJQ5ANvmv7Zu/xYxebrqP6ikC/Bqr2BBA096qI7V2jG+yE
FMvYjK3/0Q/NO6wuhIC4itaygIfMJPC2SELI0vnLLIYHxAHEblkBugWTqWOC+sS0FNPrFh9g6YRE
a9rFqzTjt9CuLzJTWIBs+RW7uknWTaleKanuxWlwLsr5GJM/uY1rkzSHSLsy4/hK5Pq4iiJqgEGi
xE3pgLfYgLlhmuHNb2IshmoXrZJQsiYKuWBSEd/1/XSFix58smiRcOspGpjMuW0yBACZet3kQ43m
zgBl7czHMHUOYTseuSmFaw8hgXptvw/UMmaKiFMCe3KxKjpT2ShYLD0nFPN9kxTwVbngCdiyY8xJ
rX6gqIo3TjJ+Z4U5HYI+BLmcCxwrWSy3OtKSdRnoJ6tS95UhSwwTvn89KTmBZOSnbaaAjs9JMzKQ
lMhy8y4PrwsLuvOSrxXZDFqq5wnm2LYJ9GVjGzJADeyIWZWxsfHjQ0ljc2rluHCDilAxO4fDHGRv
rRMSN20zWwTkmK3TnAZuzPzn1KYmCeryHCXl5PFFJw8C5SaOUOqIuV9HvgpUPLeag6ZVNwwnQ8/G
4ObFo8kD2UFeEI2h72rUCm7QzW9dLeBXNx0jJOyqqzjJHWqX5U6JNcKeJ3nGAuV4crTe67KHIO2o
F/mAEkJveZSZO45e0KMBKwN2J6pi3eYhqSB2EhNTxw6ikXa6a5uR6LJguFUmv9n7TCZBbOerIQPi
gIsPZ1PX8xg79pUvECNVRmrslMx8cmLtlYkc9yXecW1szkoGvSdQJNlkQ+7NYfU6OQZJDIMNjTpv
HBj/09waB4JIVQzmPLzReqzR4+rDO2jyxzHgPa8lsmDAj3JqQpg16a1+ZQ/Z05CXjedLMNV+03a0
xNPDyEyY6R12mTFSQHU6iVcU7eQmSfEoi27YDim4iQj4uQ9pmxiIwELdz4K0kiFgcTO/mwv/srbK
Uzc6jdcV+UfUVreaHu5zTR57KRAOxUe8AluN4W6ohGcR47ArJhavRko6S1YbN6Kwek/l626qUT1K
nc0EA8s9QXramv3Q0+AEu2YwjiyxP6zW3jQJMYiFDe7Iz6YDIqAXbRlEYK1HRjciFI6m3jpEc7uR
YzD6nQtxuX3Mg6ovNmNYGrMbKnVxqw9d88C4dWB6rpWgi0XT1zs9kuZzkBTmoW3KNLhKgzSQ+7ZS
jGc/sDSU/yYmz8xJWg+vw6PK9HxtjviuVT9I1z7Py84okn49xNTXA8/d2iwZTPMUPnVGtyNinjgN
39qFSJ1X9oS1iFI/XzmFfy3n+XLMu9YltGl2MZZepVbAKEjlhMvKiOMpSTVcW/FHUNvXNcz8HeL+
zQTocEe0ZeraJVgCp2Xm3T9UZjFveBdvpQ880CE6ohLzlWNExy6ZTLcsxYs6co4X+QCBNrtRB0TQ
bes3O7DbEc+afzklQnOnlghPhdCnVY6iIdnnBcNMjBMvdtGHoMuoM20rOkVJ/KrJgdNgfB1tbZNX
U4k939z6hsH7MEWEYCvJnRhP6Pu8LNlJbIH5DKcclVwvLwPVjDb9FH9YekhoVcvQF5y1nUZrlaEC
AZFgRLHV4+DLhttsRise+px+dZYFmxzVNiM+hEqxFoFWBL84GdlW74XqZgO7ec2qbqLYRCFS2ye/
rK6KRkRuNUBQobm5q0LtwgjVzDMDZWPWNU2KnSO0LK6KrLpQkOu5hbBIDurf4sEKt8OYHodyLFbM
DY8+8ZdmJdENRJeTiRZaa61D6ft48+JyEzliXzbyWeioAXUBo8xSCpUoAVKTIba6JpPgfIKPzfrE
dlB1QjZ/t3qn3gwzh60OPT3OELBgaLX4h+OmtuqD0Uq6o4g0gqi26SBszmc6s6SfgTdEt6mfvVSd
vddQLiTtdOoL5SHReamFRIDRFS3HTb/J1OA9dpydSbtaKHzUL+VH28ffy0Y9Zlr4oyr+t57UmJr/
93ry4r1/+f7y56HH8lk/68lPioq+6KioKhdRwm9qhSVQBLGAtUgZSAf5Wk/id6e+lDZzv8UmsggZ
fg49qE+FqaIOo6SkdTP/ycwDeNEfy0l7caKYDmhWLPf8FL8vJ9kNlDqslOkyyq/0yUYk7E/DigLy
fiQ7ZyUmdh2Olp8gNN+QIvo6lani2soMJCRE9sPpJFZ26xyaBHeT0At3VKxXhFDntHMe5rm614f8
o+uCDfFdCzjbfiJEu1zJxlrSSaCfatmpGHQQFn5PDvqsXwyiYoHNnHdVWckDZq95oxd4T1W/YvkN
j6/QzF+SFEHjNL+iyMrRGju7oeruk6i9qh3jIpIAVoVDMh+MiaIYgwu/bw/FALkbA8VRldBRRvrr
bCz4nWcvZoGO32PfyXDzf+ydR3PcWJq1/8rEt0fEBXDhFrNJpLdk0muDICUK3nv8+nkgTVVTKrU6
auJb1q6rFWQyMwHc15zzHFg3HkHs2ToLlKe2CHFwYBzWnHPCcmqSLMEzyyIeMSMbbOrbZUSYR2lj
wdWBKON9YV0UXupYNRFtlePdRNhvSHiTqxa1O5UDg/pIB2lPKQmFRcFMoxgv6cQm0ew9i3NaJHsr
D51liRlwqQzeLAWLlnbfLRM5r0JHNOi9M2Enbu/MschXU2U8zod27PphJe8cq0WejRosp24fTNg2
D2rfk5fS2ZATl0bZCOR7UQMFZfiORAlmPArIbWiQEFNsEwMyBBWRDNupB6nSznAV3NWbYcatfGMV
eBBY5IxiSWGyFBAMEgGkpWsmvIIo4MyaCyeA5NJAdAmT9wq+CzVRTs5RvRshvwwVtasJC4aBmAII
BDwMU/aTM3tN4pGsAAgyozT36YyUSWHLlKpRPsi0vvqpRMs902f6XasNmyGKiHc3PJ1sCm+bAcV1
/VI/jDPEBhSKtRuVEbY1hBulq+yFCfMGFNBGhHBvZv2GDRVnciDWibzALO1nS6cjxaWDoROGBB4L
qDqZ5q11KDszppt1Yvs4JclTAocn1/nMkPI+Cwg9dDoPxGy8+Gl1M8wIn6GxtzFMn7oifUfkwdYb
wP1Q/K+yodmnLboS4FnPUCiZ/pWvzRiu6PoODuQgNSxezJDUDU9noRHPeKGkSu4RBj8EM3ioaGXN
nxYfYurKYiLbtbFeSgenNz6jE2SF6xTIjdCpX2askRhHN4VzZMA7Yty4tuAf6RIN9AxEKs1JO3L2
UTFCS5rijnwXfx1nX2ImUW3HNrbuvU0e9nOXINVlbtDiMJixBWtqB9UCr10/T2xDXc/UXlOP49QQ
MY7Fmjo28bGsd+M9bp58MeQJ9IfKus8y/8Du5mWyg1PiDLe6hrtdxJRJpfPFS8UW+xaXkVWyv0u5
AL37JIKFDFkZKoYsuKHUey7jZ6tBKKB6+bkJzdva0b84JEjgjcTD5PXxIq1VkqUJpKOYyIxFYmJG
tRleMv8ckpsxdq5xzHMlwG678zr2WtAL+nVmOm+D17zGSXnjqRULJgLUlnUvPDcdSwcBu3Eo7Fre
TLq9YWgYZLd4aqO7IlM/eyNVDX65hynPjwQgvamZusclNW5Tz1FWTaydA/xs7OeCej0mdkbf1rzn
hTWtWiuIl7DXACs0JRJu+qcFCQrs1A1yoj1ZHSfVOjSaug9bsniD5lr5zDFFj29vIhepVQ55yrsM
iewomkAsjEmRiCL8ZRSkrQvsd/ntpPvnyJ+ZtP/+yJ/XHEVe/+rQ5+f+OPQZIukCWA34ZhYeGNE/
HPoCCpqBd33egIBC+zhDwptO4icTHm3OsWCy88eZbyH8JgISQaEuoZ5RKfyNGdK36uHnGRJbE+xZ
ksiZecj446EfVRiirUkLLqmA6HAKcCh9GlQR2DsDg4+PBbA39lNbmp/MQPbs4ZQMjEk/KP1LNVn1
oxPI/M5xQmNyI73t87WeWc1Trbcq7RgznZUZYFaSofIIVQqlnT9JN9EI8NEG88YmfaD11UvbES2b
jK+9P71qgScZ1l7N2k5XZBZstIRkKW1kDEJo5GroPGKfqz0LZVypNYgQNFg1zvnxNS4rNuB91eNn
8ms2yJi0RpQ2Lij6dZJ1eIMyy4Yk7Oykj6e164k4T82r7IxrGprqMtYRxHjDeSKwhqc/q42svCt0
7ROBWfoi91g3ZFlEzKk2TRs7xKqOfA9RjDSweljHzq5hD8frGHP9kfDyQxvEPEs9zV7KGn+IrHzw
J31hu8UUXzlYHko5FSe9wgdF0piKlYWRQZWO9aKXM7gkgRHT6Gj4hsxPjhlK58kqnqHAd26timLZ
iup9qqsRTMhARE/dbpMaFz+saJWmtbCsiL7QcaWkHmEmuaYjAO4S8RmAne9dnzpgG2b8L9kN7SJz
8scsiL/QndziVF/aRfJZjYN7M8dT0zQRfn48PABWbsOCeVtnWIEL5Mhb+ARJ+DO4MU/kNTDNe1ml
DK4M64uZZwfsxNditFGXCZtGkJIJU1keLXJ/OBAP6Taih4yQZ5skVBCNyXZyG451iCuPkVkj5gE6
t6aBXZlFc5cZZu8qPYukQNhrWVrduZ1nY9ZYg3au5K7hMf6IChFzfNzeTh3rEHKhzhksu9l4x5hv
bB+qMXrzup61fVC1lCJibVX2E97HZ8vzXY2dVpISbzXMf4bormDy1qU3XZI4ZESirR3vhos1P8uu
PSZOfDONJj5DxjEZAejragiZ6fAwB88/HhqTy041omOukXsHdwXTgv2kWAwmG4O0JTUaPFepwnXc
x2ejSC+6Ux0IsLzpakZDlGZojSy5Jtjok1SUZWBoD2mTYLXNrX3RmZcx7HVWSGy3HJRmXUnH7dX3
dmS9mcpwqsz2nfzP+7qxdqplHqMuVncisGB0Jk7tGjnfA6L1L4nac4tNKPbtIYGWkpkX3ry5aPrg
uazAVakivWieeoO6Yl068ZuieK6dO9T7AVCVVE9v5hhsOl02l2mTPQUmG3U2L9pCEVlyUIgud41g
LBcenYdLRtorFoB41YzJrVp7z4mSjy5OGCwdqK0cezomWXNq1ZjhlnzpzfSVheQekKNr99ptBNcu
8ZxdUDSXOhEbqcutXiTxGjjcqWU9vMgk5+kYZ0upzSk3KvApI9g7WI4PoVpltxCJvXo/dOqsI8y6
RarpE7kwJcLOyH5qUyKy/DxVmaQgqluXiWg2TAARjmU5UQuD1G6GUe6RD6jngBvL5Ts3SPxmuWV0
0JsZXQ1PU5n5V5zZySEC4r1p+AhWfaIkWxW4z6JAT0zGGhkXYtGZTbBtFB2zCEIeKOKFUNdKBHX9
n2P6O2Xmt2qEmddweqV2+mtzrv+oSIAyA8qXHtwW3/K0/1QkAIzRVPpry6EYpgf/eFCzeNEQCxhg
7FGA8gs/HNSQ6GDW/H/KYODEtzVDs2DasMf+8Ziu2x4wqDn2F5HfVL7Ea2V9L+L+LUSVv/RDIYCG
R7DGNFkq8Q41NqizAOnDNhMXVqy35ExdahntQ+tREQgLbmu5Vb2bvjvT436olW6+r6l+MC78xM35
6yvOf9GHV9RIWw4nNWkvUdEykx7nZpUlLpjO3M/r277K7X3XYNc0Y8Nb1ObajIhMKb3BM1ZN2lir
iOTET+TyaTtmibOIvJBLtc4BbNnB0SAgkL177BZEBnZK/BUb23NGlGA+Zwpa2JlpZStyBufEQVKq
7VU1pxDy4Pe3MjY39ZxQCEdaX/tFmG+8ccjccE4ytOZMQxg01cLTQqArHOfEHtpdd6DW4ygKUcAT
jMgCnmmeZyPop32TIwMSs7/18GAvPCzMGBNuugBimI33WczrIwIYUYYsWl15qOZkxi771E36DezX
bYdxlfCZeoNQcSMLErDxTywCM+/BeFU1tnfwya013VkNLA2kTMAj7nLExFuTIIVIhVhYsgtrbqdC
8n+0aTXkl4TAgEao1hnEKPCLupmWaauXb5zTRw7dE7uaY2GFuyGGHOR4Z0XE53Eyn9QEk/YMZmAW
OSdRh5+lIb7wCDdWvSFPQyH3nqYvu7g4Nugy2nbcjXp4IzBRZF4Js2I89uNwROabL5sJA4Fv9Ie6
E08ljnspczIps+nBSDDuM/WPz2Gb3WRxg9sYAM4U70WOlnlA/cfMk1qvHAiNrbtYLPC0rerIeoCP
BOtTEf5aSwtGOW3fkJyJp8BmDHPk5KaBt7VDkn5xlP4iA/tat7SCKgynRRBUaxTAey8Jb9pMueu7
bB2w40etTYVFzhfH2xcrQN6vmtGt5vcrp01bFOnkimlzXMN4y0kIzYKRiNnLTV91a4FvsTHtRaoK
li75HbXeTerBhe2HmvVqEnfXYQyupqfuKsZIdmE/yzhzB8uo7ouZFw4i8mumc0x5Dlu8DCMhoy8k
A64ad+8CIU3WmstSqpHLE2yHnJh5sk7BpPS0xP4NIbsniY60NFImN8aKRavbDt6hrvNtxQyhnhoo
acoZ5sJS65UdDwpIe37DrlfUCx2qbunoj5JpucYd4pazZCgzEviBPU79KiEFM/TbhT4q+7ie7gGH
BIsxac4hq5eINWsUdVzWHqSo1tZenTZ6pQQl/DqhHYhgGvSUsGyq+hSoUmdv/zn0vh96vx1Hz4fe
Pmf6/ysh3jz5/aM9ZSYNs4zFEuUtAtZZGv7nsadCWjU57+B6/G/n+ofGASEefwRNrUCVAoaV4+hf
x55ECvP9lzG1/nszaesvOjzYqw6HMk5maCCEHf14Rlg2wcuDHKvLqHQm0y2tVQl9yTI7AqwQZJdQ
EjQSWMHZNOD+4de6BeAL89sXV92T17hq33NRwFQdgl3EIzqw1DVStWNM1aZ00z7J4LBm6nLSmHd3
cmCorR8FletCb9OzJu2151vHOlDW+ajcImJ+sMbsyQDDZXslQC97UYGBSMZsF7ew8hWF6i/Qd4Yd
PFYjrYoUt+zrzu0YLgFmngera1AqDEfTnjZGpbqsBB+MEqsv72iVVP2bEzYnz4GHWOmfdB9SW9Ps
M89cN7pz6GR59oLg7OQDXFiJzqo4t2BS9Rzx9KA9obfcBio813FcKDEx3WqEulVdoTcnP3haBqJ7
ccL6Jgjak9+PbocfV/ZAGBPzXGHdiZ2vdeVoqzTqyWZs2z3Rha8YZhcokJ64i3dK7SyxMl8Df9oo
UbTE1bIwiwqHNj2rN4SXWfMdW4iyIvPBqNPtNNbX1G7eMm04K3Z2Drzy2Jnp1oAVCRN025bQOfzi
K+m0ZwzoxHw72KDk1Qpo922l2DZWlrE/Jk6ytZSFOiK59uJXPZdXpzDdICSxjVCYS6s0R1+bE5u7
XYXNpLaUa+TgexHeo0zHBxitRKKxEC+DcIWQXzKUFiWNSHkK7aRfm3053CboIZZ5aL5arOU2RTng
jTZa1x+KJ1JmA1r34Y0GFJdJVfmiXH23tHu1XUXbiGTxHbL6KrrIaSKGIZJmpm+6KgMVQXe17IZ6
Zyi52OQl3krASNc4b4p9ZjKzqMs4XKgkr50GY+qW3UjyMX45kBqZjxBRn6KrpmqbWONxbDT+NspY
CMCYsVe8JYSHjCNcyL7WIiqsctXYInJbq5dEN2fGsjbHu1COJVHooB483YzXU9sULiFFGij2+gEW
Czp+s8VlmSDCs/EzTljfDRabjqLdK5r3GVshhj95mTRjLauYUOy4h1HXuTLx3uFonGygmUrPz52q
tkFhOMrWLaGQL3TTX4Vpfqvl6WPfYvMpupqDBVGdy2A6XkaFfPP9JluIKqMrqst2WUuHo2MWIcIN
dxRU7p1sU7frIFjEmv3uF86nbNQeUOa98/czm8hF7Y4jZjm9QB0QpNgRQCtDBYoh/3eFui2Sasle
9tIF6R5Px6Mcxq+tJcCV2nuZB+F6UNoVkqXHcNJWTpqUZ8B85RobF4D2VjFPeeLdgaL1kTHG9UoL
On3ZSsZZvZo9s//nUy7TL0puAz4Z+mqJWzNbR/Gw85RkE6Gbcp2pe5lyOChJM1xCYb2hrHwbZEex
NpAYPlnmVjc7g59MgMXAdNRKbc0EZsLSoW28XHtuSrACPKbA7QDB8duaiKrwefRZITmK/Bx6Zbo0
SfOjy31T2mq2XeK08sSyzLwnYlM7dwSFMyHFIlJgpgMpmisb5h9A0O+DXk+XIhrH1WDyvQ+e94z/
Y46l9yyuL30NOYnln9Nzi4bxCB+G2xJQLEgAXf+aCvYvnefPuyYCr+IQIWpa7sJwMvnbuj0z8suQ
IivBuoKSTCdfXDD97h4zIfZNj5sNGaWzCBXo2C3CgTgQd73fHIwsuFdHlt6kiiyzKkIGI3t9aQ7K
MYQ9w5o8fgBJzaQ7LaxlYhVJexcEcbau+toPXCVnktix5XKVqAt2ErJwkOBIy4StbMTEQn7MMIBl
dYpapNXYW463RVrDa1SH5DbM8bv9U4t8q0U0ju3fzMkxxn3+a/M9/9AfVcg3BoqtwXClVyCzlH/6
UIXMHaluadg00Dri8foXAwVxLG42Y268MaD9WYR8o6PgL8Aq4NCeszT/O0NyOTfXP+gsJUxqQqoZ
AfC7vjvwPzSqZV4ixAii4KZsIwPuzjfSiGFdVBAWTPT8bxgSsnJmJklbQIpAOjjDSshib6o1JQwQ
k/4b0IQ7Zgu2Q/descBGYtX3WaIceNME/ahBNBJDisHIv6H+h/+DfCyYgwpbbeApOBlTErpJ7Xgz
OCOzdGSXo4msi7GWYwNCGukAcduFZbC1UDzxrIkMZaEPWMu3pV85EcB3rm6z7JPq4iPKAn+hj721
gk6VI1+zTWR3Tau8G8inN/9c+t8vfa7H3136vyKEavzMn1c+xhUKaVLENMwr3y7vP658bgoTZugc
jmhC3Zvlx/+qvy0cS6yVUCBThM9SjQ/1N5kINt0mZTk/9vf2Qw533o/Xvs0OykRcgihlHj3N//7h
2q8nnAqt0ZpnX8+mI9HXooCYbQelRJJAqvO0mLxWw0UB/TJZ2o1n5adRpKjh2jDCgtkYIjnZbSjS
ZqH5vIbv1lgm5MpTWhk5K85+LVvoE63kALkrav2nvkUbuZyEL5nHxDAhil0tK4p/pzPMgUhMC71Y
oOT+mg5ZoZXNnvBq4PhFDNrMG566psouO3y6aBlZXftKTYCjuI8y7VRlJmiIFILAKK44CtA6qpSD
uVegvk0PWekd1X54HPFNwqNgu1EU6aYtdmwEYOv5hUYxHIVubIEKTQYLCaKNuqL1JgY2w/SUWs6N
KlihJzDolbYmLAXk+wIbWoE7gCjLbPyiDc2wDNvuuRkMdGB+ckhDYSyxEN3UeTaue7PDdtw67Js5
vVzdmoZl3JgJ+QYZMd9GRYS80FZwB8Yl7nnmCHb3RZHDATkfcrHKq8CVql+GocjhVdRriBwII8rE
TdWE/b5WuAD6H4FzwGEr+2Pdxq3bhR1He67f0bGsS6vV1l7MlltBU+6R376TQewvBpmfIy2/Av9h
FV4cQgxIwQD/rWNXoVJ6jm3yJseC1VXQLRudgzuJyRWTeKQKfy+9dFUVNvI2D+eR1gwRK648Xtuj
hbBZb04pWqJ1nFR44mFEqL7/1LJvc2N0NBudGRLBLj7zMOzh0mlctWz2XdsRyyOqJz8HOj/FxmEc
1bvGH1aEq3ewHQhSzqKrn3XH0NCXsRW2CxMSHvJNWrwC/8m2ir3AFSR9CiO3Vnapv+eJWm9VNr/4
r3LakqzZBDrbHT1+AMv7mEblguL5ogRF4bIsI3gp4dlqJxGCbqpcC0AjdWMr9BdR0BRaTP+7Prkb
YgNubDkuqLCQGthY6sc6QpgstOCA35+gCmeCLtX3Txnn4TLSmqfB6x9VWd/LGgkGNKsNFO1LVBtU
NPZCGg0KTHJiEZP3VPxxAeASWYaNwFFv2jsvwg6Wg4QFheLv/Fr627IprySbvsS2/4kseaQpITUX
QpOSEAmpulK0D10oTFatQExyM9grSr4XlvMKCRDwoF9q0O3UO2zgayRG90UtNoqe3/SCmm8I9TsE
ZvbSDgQ65YEIoECeQqtQXFK410OYPBH6kW1IznhN/WnYkrGxbbtKYp21wYgrLGz0FFVK02QvUTZX
rLMwJxkm++CIEd27Kja+mKpjSBOT9ohPPQ1rEpgfc8Gwa53U40VV5XuVMA3Oq/LMCvQhJ2Vij18t
IRFseI9D5xpJKmlTh6irJuQf1dP4te/YWHYd2AhEItIF5sNUt565GBZecY+6Evs3lw6oH5IkFMT4
RTi6JaNEl/5hG/vDqxk02aoh14gS2mENVZ5URb7HzYBbb4DtBd+PCwpRM7bTrxUiZz8Pt+OUv2Tf
1M/IoK1ZD10gjBYVCmkbtu9Sa1lPD5rc+aDBFtOsqFa16KQisR6RWo9IrkEP3UaVd0iTaBc05Z0X
lF+bWaONw+A4Ito2leK+mFXc+sgKS8zKbmfWeFez2hte18qa9d8RQvBsVoRbPdrwBOOVMavF+1k3
Hnb9ozMrydsculg3q8vJ63gZZr35gPA8nhXosLYgfA4apgDk6Vr/3s9qdbJuwlU2ykNgpi/DyCeq
Ou1d0jcaVJP88VvOg15jO5TGe+Cjrxtj6v1JN3aizj87mvw0VeJrp3IxsJW8Lyq+MIzY+tJIGIer
fobkLrVuOnwnpD2o6Jd7BcBQdzaUmDGFCUwluEzkaqwNOXvSO0VbTHgxLA73ZWCLXZsj0CLnYdjJ
3rjTCu85sABZVEn4nvY1s3pJuhXqxGxbx92DngGdMK1hQgFRdfRT/1RJ36skavPfVknNO2CdX/QI
/NwflRKTSny6DsNIIHsUShRRf1RKqGehdengwOdJ4bdx5B+Vksl4E2E02GD5sUPQjTkL1MH/PWto
DCqmv9MhkDz1c5mE7lqnQyAFQsKC+Vk7mxaJzEcoHOdUn7p1ITy5zIX1YhEgl1vtE1Lxh3i69cZu
g1h7pRFs2Tb+gzcnXY6zdKJgFlISgsmOnkBMvY8f0jkhU52zMkdCM82G8Bg8kbuCOE3hZzwo2nxt
qBVpRnPmJhvDTwB1izd1zuPU52ROHnMefqQI20Flbj2/2pPTwGBKD55SA5Xi6LxMSoOPx64YQ5av
AN1vnUB/rUz1eehGzTWb4YROPHfHIGbtXUYHdjkwk9O8exqF/SlECX/ISE1aqT2xRqKIHuI2+SRG
a9rJ1N95YAHXDDq3U6l96ur07GRkJ5nWHdO1GKRi6YChgNv70Abhix0q217kT3Wl+HuLZDunJkcv
685qBP8mGZGohudZHFKO1exCC77krP+pHrGomP3ZmXUQeajtZL6OUD8GY45C+G6mSljroolfSo3h
C3/iBhkswgZ1FtGSSNMYgPviSLMfPOktcqOut53poCPu9U3kKUczzftt3lgdcIl21efRtajNI4aM
aS3ZqLldkmzLPPlSKUG/bLQafUclNpU5Ba7RtTfgh7ci4ngSzOI2Qaa/N2EomTrzeglGIsMnZMKq
3phGhEvYvsfAnpZ5Hb0yhkGh2GIaa8JLUjjnlN2mGcE+xFFz7H1CJIGUWAay00YOAMsEi5xsVlj4
Uz6wemLlksSwbhKrrgmAgLnLQczFFjoGmEn8IY31ahTKDqtXs25rzfWwRS80bbztLbN2LRVdU6mT
+hSVriyja6ZSMwd8c0qhPxhYLco0qVZwSO1jqai7xM5PRTR86tLhMajrt6K0mQL3o7ecTJPjMmoj
d6woTEhd3IEAzpfIlJ/akPZ5Qt/uhkF66+Hmgpo9bOmX83VFwwGF0ewXQO91LYww99hf+T4OeVFc
ZBWgsxIbQ02Em1JPwWDR2Drpd9GUfQJdd2jU/pRPdCZTk+3xQR0FgWxayuYuEQUUffstqv2dE/h4
+bQEi11939fhHavohzA3dyLL9y1gkdw0dzFZUOhYPmV18mDGJR/q1B+lXh30Nj+1HfbxImZ8nHab
wQuPkmVcNvXbwsl3asXBM0ra72DvE/9Ck64fiqQ/9LW4EYFM1u0El9tvnnuLmqWWE2VVcynahIj4
ydozjb8aYXGIw46l9EimQZK2LDKgKYnq5BfWJSu6z3UI39n2tbs6r584Eg/oi09tIIkRGK+ZSNiU
ctPHScCcO3zyY2tj+Pk2NUN7h7NrY3b9nJvUnPSMSSX95q2M/B0s+NtU6ZB3MSgP2mrH/uKZ6Wbi
2iJJ2Ha21z4wju08qQXVxVJmSp8ZRWytlrN6bJbaMNGc2dmJ9cKnyXY2vdJDH6dMC7uXDHN5bYiv
U83mMAzpPZABhTTBtHaTkqVXLaQWSew+YQyaGzz7Bl3fs5IGKmcmB8dvj2isdqQak5+iOujEg4vs
koPnY1mIcv9Ebmm6Cp3srSMOZqFUCftrZ1PmzrkCsIWOaFinpVBXoaE+wno/Dqp80mMFlEB0N81f
IbLNt4Ikr7z2MT/1B9VXngbRXXQWLIKg9sC0sBCO/aum0AaFhU+eW0kFTnIqOyFjnbV+uCnt9FNB
0Obo0P42YbWN82gTZ0XPWF59tEyxL1kBBwH2w1q57RAhupq8t3ym0eH0FiXW3cTA/5gZZbETvnct
0uykzFAID1S1nIxPamFuLG3OhkDOFjVw5Xo2Qdt5w6Fp/ntMhcisKBeH0RqPCE61taoWxlqE+sYq
GdZyURRIMantTV9s67R9rvvwrqTVH1v/3qvqLfxqOr/efsz6cMN7vicL76kpg243yJs4ZoQvOuTr
JkDVdNgYMr/0jX8fiokVhdltFTBHzWTvqtq8nRJ1W/kOH416UcoqWwTdeNu12h2h0/ZKIFNY2hVq
7U7tbwvdPNUJ5/0qqRUtWbV9GT4aadjw8Detg5Yx2k/tpFsHpQmOdmJJZXfcncwoQoseq+ItjWOx
pWDcWH7m3CAKZAXfdNlqUkKIZIQfLZBNs11o07cORx8Lm2jNCWPQm5EaWGgJBhbSSgkX9AKMcgMR
T4u8c7p9lAw4JJTxa1ax1OEuXsQjcCk9QkVghmAvDGwBXc7uRozmvA1AjaYG7KQWrObhG6X+sVeb
4pJhZHyOVAt9pTFVyhqFA4qbnmi/xJ7grPeJxHrdYYtbFf2ULCdVOfZ6tQdbdqPZ8VoO0crSpkdy
Ka9+WR3aUmNrohOTlBCthpXg2euNyLVQKVRqDRkoHjatRHenN81bh/NFje0X6emnrh85ZEL0H926
8Zin6zXKAzEubSt45cn6SGb31uuDizCGdy/SD9gWCWJkl8aFlLu1QsL5ZBysMD1BI9WpkFP81PFa
QUkBdwsm4tjaS7PySE4wlkmcX5ualReCuV3hm0djCLdqBTExLnapA0IpF/EyJBQKZ4h+6/TpXQNY
pctHiGxZdk/gbMZoIj7QdBIeo5wIkHcphTbaUO4aNBJKHOx8qzzgiX4ypX5gybuvdE5a3Qb5WHym
MV5FsX87eFQK8OBZOwarim4YS8x7GjhHBdI/iQyrAaRn6ySfTV3AiHSyXS7Ca6URLq2xdUHssdBT
DJ6DuKvn/UiTKYoLvxQ3ro8Zp197HTriGQLSOjUJd2QxtNpzZ6OAjtRhzTqQ4Y4yUlqQgZIlJU/3
+DnRWTmSwrjoK3ZRMYPf1k8gy0WPAI83uj3diA4Yatyo92OvrvWoeMqZA9I5w5NTuvCLV+Wdi7Ci
XTUBFipDnD1fJxKSrIAwKlbSszaRE+6cUDhr3wcEG0/vxWicm0LlHfdJczQ1LhY/7w0mS0y4cEWo
K2807Uuu5vtMMk9ImBUHjbhNpHJkozV7WPV1XRPv6BkBQuZapNtgNF+MPhrxIZXQO5LhOAx2u1T6
/Ik1522hmC+aFnmIR7DNwPqCFt2u47pLXLIXECx76taZHz0lfM4ud4KtXyUoXIr4VHiz81yZLopW
HQrVL5eaWQ/LskrpFAd2UmOJ9JP/Gom6V7vyzg+HYgNLesfMADdz0wLvnE9tQz4PKjdaJACMVQMR
XuUoz2ocnpHjujKSwc4KpvpIhOYMENGfNDzC+77ybp06eSHdW27n2x1yKbvSjNM8rjr9xQ4QKhfy
ljlieHR0khnUYucX4l7D/jvlhiCEvGWQkS9FGh9LX2xaSxI+aKRfWztH2aNrNLP2fdzk+5AOP2Yc
2CWEDwJ7eAZLfXUG4iizwjpHqk+QZ7QmEHskETZ6LBPnRQ76FSxyfjD0KMNEbIJFaeTLlDo7BxSm
G4mQGQx2noNSqutcDZGKZ7LbRgly3TorOB19mQr9blAjjTaiqpjWwp6VGqM43VRWmhp6uMg+dHy/
kAPS2H2YM4MUg7bkEHehcsY7Opgc/v3DnFkLhRg0LQsRA8LEyU71NCwceff7F5mBGP9a5PzxIiYq
T1iFKq3kjy8Se+CKlboOL2LcKRnZTQFAovumv//9y9CJ/vVlLFZZEjXlDOb48WU8IRy6AEHhrn3t
8wdF3//t38/kH+UNGi8+rp8/q9oZzRwbZHLJei60re1hUfmz+/7Fd/GLvx8omsYnxAcF4+0n0Y1v
zQNao0wvNn2HcWP8L3Lm30pNZynpX76GD5/PT981FFqV8T2fD95tBGUxonlrKZm3vyfR8vdv5Rcv
BYUbh6gtDcRIzk9fBU5NMfVTHl9EtMXA3ohFwSBVuhzD8Bd+/1rzn/3T2/rha5kv8Q+XsFDDtLPM
JLkUusv8DVIrtxbP1LFb//6FfvWmPn7/P72pzIqcvLW/vxBTcXDfQ7DmHJmP4uI/XGu/uC8tFp/Y
1jkdQd38JNLVjUzLOXizS62vveS1G4iB//z7t/Ory+3DS/x8uU34GHN4stkls18j70Uq/4fLeWa4
sSqGJ2d8m918+F6iMjEaqWjZJeIJyAA3Gf8PDy82ZMIkr5rbBqP2j998pmTU96aaXybrtbfO7bzx
af7Ds+tXXzoXMctuOROJZsndx6sLhkqRjfaUXioKv9GdNy7GLfqRnFWZ/h+u5F+8li14G5pq2Swa
f35OBp7NkA3n8yWYe+oVpNQAtHHJTH2jXb99+f94B+c75c+H7vK1ef2vd7Krm/H8mr7/9/+7SV4/
v1e/GHjyUx8GnoJnPKDBb0PN/2HvvJYjN7Ys+ivzA1DAA/la3rBY9O4FQdfw3mQCXz8L7FHfbo1G
E/2upxtxJbIpNgp58uy919b5mP+08OSNBivA5ZThAOAv8M+FJ3FDA2AYK1JM/JymfNWf0rD/h2cY
HErzX6xLpYz4nZ0nHoJf3nckBWBPGQbpB0HGhafyL08khfTULdmePHeA0PASQdsfxhtoIQA8RHjO
jTp5B6ZUQGmx7tAKCJ5bGhVXnvymRfqGtazNpl9j7gdXQUyI65nHPQxe+VsT0s2lMo+QXl/c2CIL
ibWVwVZSyAqKCkJh5b31VnzrDtNjxGePKw/6hFnZSwVuGw9idbDmirjcm4UPUWymzLzlz1rJzuhx
LvUR2soIn9xnMYVv9NSl4p7TkDVGGn4krX+ymfJ0W50jWthLD/WZ8PK1Gen6BigY0qI9XCmTFQAv
TXfhmcD38iydM8bYs+ulhVVkDwciXkj8Z0bExEpvfbuGS+Cve0ymaysNti5i56K0crELKvuuEbTd
jmLVW9a6R1lbEL2KYQ+N+8mAltcVkc8yZnpwxAexu1Vjqrnq64Cl9AkyfLysEjjUVJyTWhsxiLsD
KBhHjZ+DXu4Hw6PnRqOYRo8eQgMxCR4K+xUuHQzKAArmai/vLGPv0qOcLCybB8of31j4Hr0y5UY1
rVxr9p4Ze1Dh1+bIci503Buf31AQg3bSSkgmWXbZ2OLGjfW3VE1Q/3Wc8xh+5iWnvM9N+zlhpDAr
D4LiUNgb2iTahVDekdjVHRCugq5H/SEekoxyIGhCVnBfqeaSndwxbLD1tlkGtyx6UYN2V+HiVZG6
6YS7oWfmqdeSd3RYCA2gVpZNRZhtmtcKZlt/88bxVu+hq9S2OPHXdCGJz9QgHAP7G+uQNXkFGE79
tKm8sl2ZNngx9uZuMvv5Qm87JZ6zaIryxSpc+kLbOTSiXu1e8nwZrAPzsGBp0ZUXdId+BDyRosFO
Z4NYp1nm0LvjrnQ7MihETszIunOoTgtjMExTUGMWkB1qK1grir+iRYMHbqVFPZgbi+iILtKHpOOX
NAGIWDgRpfd2bt50brUWVb7DaNGIddsV1SEIZXhp9uWDap8hqVt85p5z+gRpwUBTDrltQ5NCDB2j
61E2Yh8ALF+UXqu29sAqRe+lvexrI0HDj1gAaNU3NvOdYFFRd8TaoyAZCd2k9XQ/fPEkHKoWID2E
QWrfFoHFapkr4ENsJ+XahkcBvxXSI4QKVdigKiTrdh/DsFeILf4AcBaG76862WQHLlHeOh+Cecdh
PZeDk6ynmWOQRTzS4LngWVLHFnOsL7U4X4W+ULd+BT2jZOWnoukDI8EirkN/BT19oxOg6FMaLCZq
RNYFvR7UiYZckLxLZVOwBMVj0v3HGKpH5JMqwte1QVvZx3A/GhYeGRyQLO431cx+mCCElBU7fQ1m
iE1b92UGRSS13Vt+uwblAtRXJDAe4I0IuCONZRcUpMq31rUfytJ6ynWPxnlYJUkGMK2up2lewD44
0Ww4meh3Y890KWfYSTFjT9Iou9DhoPD/mgjzcxVI51AkByzFrLV1Y6XfRigqVeI9VHV8yhr7rWkn
UOa5d3bhrrh9SQimJlRk1ZIlREelnh4Yb7pKbny4Lfzl4eFMJklTnXefD0SMp8zqgGf60Zpb9sqd
OQHCASmSgA4oOz5MIx89D6hAG5n7lnXZIo66G0wnIDeMA+GhY9B3F+nMJSBagJgENQnAJwg5K86z
Re/5ycrODerDgRtoEaCuUtTJputFjLGG5uCZhTDMVASTHc0UBq/amF/QN36vjfATDDW+gylMbkfI
WstGslRvbVofRyRqL6zfJZcIdrt0TAI8uI9994gn4z2GLL4MTT2/owRxpxXmvWdiIA4q/jYyLwB7
l+orP/B5bci9l1e0irk9HFROh6pDc5b0AuYZzxrrUAksQg/Jmze6gWFUz8KCRSHbnDboWvFi5kRr
T/9ORF8isMVY/H9PRLev7w2jUdH9XU6Tr/wxFRlAOQmWzEwFkid/mYp8l4Hpz3/CV/05FTH6WFRt
0/vE/xDkZJb5z1SkU6VH3JabroDa6f/OVIQB739PRUA5+ekw7gFvcOap6afbhpUMBR9KJc8q87Fa
A1XasB5K1lUyQ3JUBzwmba2FcuzhWSb5sWqV2Lq67/HRpcc+GCmKCQrfuAlDd03hKWfMWHhLV4+1
I73Nr05gTrT4dJ/Srdu1xx5zUeFOx8/tnii/IHo1WPWmUkN9yRaEjGT00EVyLXWSCDF+97wzD7jp
vqVqfJD44T07Pdf444my7kTMtCQSnKfxbKJPMmKI5PezldJtGAszW45x9TPx7Hvpai/poH3K2ZY/
w0WXilTfAkjBR52jEqe6dtnpQw/uD2O/TImtDcJ9G2fTP+4hY5nNUZhhjgT0Y/kQzRkBsgJuibrr
fcUH5iBB2MCHOIXx3q2sm7p10ZKCz2kWx4or10BGsUgjFEwAk0oec6BxAWmFqHDuhjm+oCffxnCG
xJBr8BtCMX6P7DyQeSi1jptNTwyiz6JsozrMh4Tc6lVDWiLHh7Lq5gBFO0cprCxC6JzjFVMJUTCf
Ixctaba11rntilLyXRoB4ck1a9szhNwgSZorBV1nkYyc+EYM7tQpNevUzDEP2vyGZcpG8DBpzU0J
TnJhz7EQujn3TErxqrHwqdsYjXd9IMb0oQg1LzyZ7ZQ/YvwidZnlNaDpbJiWykIdHVQs14Xjf2tZ
kapoOEcdzG6mFF5M3ddLqnGm+ANflafhoKJZNbaNYOMgQFFzHqtlCzOQ1+VIjM+W5SmfzPjeR+9p
ulgRShAvKehk1Gywd9JOzJVW9c3GHP07Uci9lTtbqht7tqv06jaGca/1gbHqdWmtVTAVON+Iwed2
Xi+8lit4WxBF0vldUlBxUqj0dzwB1CDD+MaMmKmrYmRK9ntZ3RFZeGu5dB+91CRMmUSflRGp5WSP
OsKeQZ6oDChuZlWca47B+dP1u4barZ2JQnhbu3V2HkqvuEtNxMjKiCPyXdVd6XerrnMZvvqpY+51
qJpkeusDDYEZPZc0yYiCJaAyWI1a5pgP106M/sf9ni7cmG6ybtRfVVAt60g+kHSBGV7oI5llIKKh
LRDRla3tycfKlzSRRCWnOljFfldsMWSm76nltLsMOWsx1T69hpHaDXTu0pVFpGvVUJq7cB3RXEvL
CC4i9sAnfxgvW+5zUJdY8oAE45OZD81G6b7Cc0CVk+ZPJbwTMrCpo6b1v+fR9/OI9e8/nUfFfy0o
/Prb84iv/HEeQYIWroPlxxR823kv89Mt3bW5bnMcsN3GavSf8whbEml+gN4G9/hfjEnuH/iV5jSD
y9IN+/fv+be9X5eSXNKF6VC26mMvZ2wEY/3rcdT2o+MMqa9dek5O8R83QepAF0XmoiDMNovUG3fa
bLyADXXNKSSwAmPKkLgz5GzTgA+3n2bjRjVbODBglQtztnXUs8EjxukhcXzAAn2p9Po09taeKJN/
Uc3mEBuXSIBbhI7vbT7bR8Iuu1GzocTBWeLiMGFd2tJSqF+L2XwifaTHJmlowvK+KdtVm0RWt7mZ
3HtUuK6nlPG11wBk5aJ+snua0mKjgjCK8zMJK6T3UoNGik3T0JqtTDXerAE39baHRzt5ZPBoYeY8
QxLVVoGyX6ps0MbrRA7+sKEKVebIu23HG6lO9ArTn2Gj3mH4LkspNpVB2fLQjvna5PWFxGStB4cg
dKolV30ykuosMFiX0IZ6PfnoPO8z0G2BUcmHLtBdZsO92dKoBlFRQN0m7w8v7NZTRrowcvMlQeRe
KIHih3xIILAcjm7QtodaL95wLiUNDRFRqa+52nIku7ltXtdpmOL48aDOj+BWI1h9Hhk+0Cb6fFw/
FXb5QBNtea4mVV5w+o9LzRPrwgPOGFb7IithOrTbHCNNJryDcoInT+hcvFJr3JdwpPvC1vcGlylk
+nZEM1aYhFz0KT2brCU/zyMZ8fgwcPtf41qVC98ItNk4lZ/ZH96xWwCrCECAvKt3tL+U+24W8dMv
Pb/50vYN6Z8mPEd6i1VZd9uamYM7e1PptyHrlmA2CUxUTNa4BjR8DYwA107i7THObdOBfoLZZjDg
N+j8/KwE7jpljsweJBPpDGsldqzE6XGjJY8O1gWvhOnK0YbRnAUI5gaFyaHC7NBgeqBw5inuWNbM
bohk9kW4s0NiwiqhBui73HbMjcJG4c5+Cv7KCav1yWfCZW5o+Nm0MXTW1uzDAB68UJO3pefrxWyg
WM2Oja7PTlxwbvLZyzHOrg5Ls2/jXr4VWrvO27umN4wl2LvrEDtIhS2kqKYDZrwHXSRylWAcaTGQ
4NfuWBlZJ/rzXvLZY6J5Lg43XCcW9pNo9qEYsyOlxpoiAqNc65RYTe4ETJPZgLuvyWFWttqqxNwC
e+yNojTMe7PtJYzOEhtM3ciLCFtMNvtjdHPc1LNjJsYcE2ChSfKC5gc8NbRrvQ2zy4ZS8wsx+24s
DDhZxr+GIUfOzhzZ5Hsfq87QFUf+zQlBHRePN/t50i9rD+LjyM5nNvxEKF3ggtzwOcEOVDgJa7rZ
IKS1O9xPz3Q8bqQY1jjqtonlv3QYi/KeZEHJ6W4Z/bLDetSE1dM4e5HMeQSVNrVM2JR8o4a7OzuX
msZ6irEyQRxYZrO3qfTtawuzE/bRa3N2P43TcHJmP5TCGBUUjb8XTbWLsEzFfvqYmOlFqLf3XlHp
pKv0mw6TlVllpwjTFQ3Jj2lu3zazG4uW5Hc7nzmoDb2pJpcBfFvhyO6RUrxdZpJjxtrFQ3IoZ69X
hOmrDfQNPZ9s74iG5GYNFBxFecAoVmIYg0FxpOJ0poloe1rsdjrWsg7oeo7VTJIcFZRsK3JbXTZd
d7MnbQ43W5jUVMUj6zOA5djXoJK/pMCe7NrZd9jbWrs6RNjdDCt6GLC/OdjgqJnNFo4bbAYH/Ruj
XIphzpidcxMWusDEVo6lrpi9dS0mu6hMj1T7vSjMdyxqSXbg+zbKWl8mGPTsId4UGPZwjR5jDHz/
ziZfs4n9j+rBbd9hmP7f6sH8VT/mEuMP26C5wnK+pggMzj/PJQJIg3AhXxEj8xlZ/rwnz+qBSXLc
Re/7nh776Z6MhxrKERgGA5ihZ/7WPdmfReT/qKVf6gHXYz7TtqmD0dH/opYOZmHCWhfjmUR9u9G1
rFi3tk5gKrVAKxy5eSkg74ODpcYJiuokJVtFbhuOn/LcNRO2wUh3LlShavLBZMj61j7Y5EGX2Wi1
G9PoxCWAnHLHTbi6Nm2GGtfutCNvBmfbJuWTYKu+1Bz9vahtHfrLdJ3H9OkEsqS2ohogQITeGXzg
sCzKQV9gtkyXcSkhv/g85D0sd/KU5nVqadl+yNk75nCJ9CZydpoHB96xKAgw0r7wOQALB4dgekPM
9FOm9S3RYkYkguINm+t9ojR1CAV+4KkT1Vnv3RcUnBtR810CIz2Bq5Jsk0nGK8pNAylOOplncuEZ
OMXhWk9xgPXVvUjqYxy1LxBjtkmV88NO0qR6KLmwHW7mrLJOU+V/TAKZglrzeumbA7ZAqllxi9dL
rQerHjF0Ca7QaWSBGvDLTcBtzNPqU2FWT0k83+LIzcxuXaIhzvg2xealQZpsLQEaxOCDl3pi1f5V
a/nauNX6OdMfzbIIkL9lDfDHNxpO93JrEhvRhdyaenfsDbHB/vU5+X68drwBJ4vDPrHx5iTfiCLT
txXneYJzzpfVToSiXEjTfsQle+o1KwR9U60HZZLCHz8Dz11Da5jh1eEruvW33gvJYKVOsersqdwY
ekceMTOvgmZEt3HZjldJdR0106tfk3oxOjx/UVa6y8Zm2164TMxm95Ak5XWv59SxusTb5qzXVG+o
a2qoT4FhabjXSoaPLOIFNsgWtaLLVoOWg0JweVz9llVznIbdyhuJeHlZEZNBbNkCh0G3jmvxQDX1
FQXZNQqLewyk36yoROZ258SvZOFC5JLy1VMW1VAKK2KrBdMu6EobOStNKfXAPJGT7F8gtVQrZYf2
IuzCWy/weKZKy9yZec4yAGM4JZgMpThzWZlzTpKyIDUorxG+yCFZAb1MOfZFLO65a+6o/gOKEgq6
Ctp2lWmmQ10DAEGOQLAfRrdwJFsW3JDnUmn7puywXMr0nZayxyS33qpRXiVzV5UR5p+8pGCMhPlM
DbhknNLXic+cFbRE88TYXtG9/UFioVoAxKUue3yTibhUZnGLMS5Z5s6EqoF7o9WccEMZRkJLB+yC
LnCf27IGxBRR+JGkn8k01LvRDLZTLyn5yjQXU3VLO0w4azohM0oYZ2utSh8pAX00Grph3MF+bfTk
BYoi51ZX4gsjDbqIS+sE0/AhaTS8v8PBFzk9i8oBaIraUuKr7Etykyiki0Roz12NzzQpL8qGvbf0
SA5FoffUTSajTmiJ3VB5xMJz2JzS4MGrW2GfzbT0tVU9r2f+PRa/H4v/zwq5QGZfNv30N0fjrytk
x0cJ5xTDcvbV0PTjyk4vISRM/A0ONbbzIffjaPQg9EPFBznwnTfw0wrZ/QOanUMqkBL475r7bzB5
iX7/9WjEfIG93HUxekA4+uqd/mmFLChZdkPfxyAMBGbD48JBYbJUzEg6x42Fpjk7jVuTPV+WImrg
Ed/XjvFtKMldlnkuD7g4rUUepTQ06f0uLMM1z6nDthQ4Xln0XO4Q2hMveZNBw0139kIPBW/3bPZH
e7NTWqtGcRXV+b0zO6lraY2wsnGFp8B0wg7RKX7ECHyX53Fx9uaLXzlfAfv5MqgrIz7k3A8DO0yB
ColrnxjkAsTGJzdzKthNTd4VtdiBYjwmlRo3uirWWqtuaoO1eVll+0yrL4cCT6Rdbx29xTngqIvc
m4vquJI1Y3lqHWAHYWdtU8x2yO7t+8hilhdqOKw92N9LKw5QWetbNnIbBDfsyngs26aJ90PmvRgG
VYNSycthdo/6E2kljKbLXuFbLWNjpVIcAlkz76qnmyA0xp2jGfxq+ng4ZjGX1dwJL0UVH4SPVIZ1
cj112keSZGBM6trDPRtv5QTgtQ4wMWhDajNhIED3k7XpM//KCgF9WnTlUe4Is72zbmD3sA7+MP3y
m8e364FH8K3QVSOjfY24jLN05jJtex13QbQxq0oM8DqsJ7KBfXhmE9gZ2x1U1puR0NZVnRunWiVq
rddGRcxhFrZ5hreTad7ZE4GmdKALSXPusRWJQz0kmCZYxrt1QK0S1Ak/SDeYuY9t2V3JAFQfpFWM
15tSCZb6Tvwo7NbeFuAXlwHVySuR1Zsp9k5jPT6ZZb6xi+HFliOObmu4GVpsHsYkP/mT1VpZ2efg
1cYZtYC6BWO8ShT6a5BGJ9FrwcVgNW8k22gsbwwT1g2Ux0jLvTW5dOGsx6LFLjJtnJRDFShMdUmq
ExpuCDNSfeEjvS+UpFXVGtcY/8OvfHmgRxhLsbdpKrXrLERAh3p2K2iehc1tzx4L8jUVfwQ8IbhF
u0aS1u0dfsV+GGy1PJruraqE4WxC9bIq75YCxGNnjJ9ZVKcrI3VusiAKjy61VVMOOJ80mCGw36au
PUGYiT6SqRL7rvQ+1FyEhY0bgyABUm7h7XVXk6AOmlMAenHlNbI6lB4Z/pjAQJ3a67CE9RWEPost
NfIVCl50IcNxkxjBt6wKrjLs9cisnQ7gqC9BB9hQo6bsWJuFvp50t95Rj4XkPiDUFAeZmO0qDszn
pGKIdlG/LyJb00+WbJxPXQ/Su1K36Rka/BHiVhbJcvHv6fT9dPrnhXL02navf3My/bxMNjh+BEoC
wiFMCODu/7m0UYuL7ClQL3Gz0vfy42T6ot1gA+O88meJU+cb/o+4aZOZ9R1Emi9KyO/i+JwvK+Yv
lzZclHwXTkgHaAmQkV+3yeb8h1dZnV3pvLcgZ/ftwrDlA3vccMtt7lxFYFHbKT7RXwXKfASWAzNj
7U8AyzCMfJZ9fMJgcAffBpu/UYNKsAQzHzFIGGM7P+s3bhesc7gNUvK/pDwWkt4UyzKeW4cGsxi2
JET0davq18hLTnj5P70kWksAb0zumPuNitee/Y4YvA1HbAZWW+JNifN+l1TNrhHi2CaEciGZTQQ5
EHkijJQDmYfy3oNzK82oJ6lox9toMl+zBp+arj9BznM2XgDSvkLd3Da0WdBCSjOFTTsdNEDi+gBE
OlPbCStZp1FyS81MhUBnUZVeqeuCXfKipXIPljWdFvxwR4BH5nLyJR/MwigWvN/Owso+QApV29Gk
hyQOUxAiY3AHJIOPOXO0XkiaU9vklNrkYeLQTNdEfrMlZjgmc1WOKKc+9YfjIXK6YhXK7J58q3bI
iUOQLOCSE9WLwhcHY4BT6DndSRTmXR31Wzw018BtNVrtWcSPudzqk//N0HC1YZy9VhHFJbYvnpPE
uAGNwnuJXj20Uysn0GvdTXn8nJLekhnvcxZl7CJjgpCsAZNa/zYnbne0drAqi/txHbVuCJfUIgEd
PUYJP384uinIxjlaT6Kid8tqURWWzVIUemOSgh3MVjJsaBFoY2wthsv0wZ+jq3YxBqJgoomeUKBv
VGOrZelX7IwtAhahB/O96AimjdTlyISvw+4iVkae2tu87M9l6T86RsDfe9svUoNFgp5Xz3Q5XtC2
fNHEpGS00PCXjsvBaJsFNraWXDRKL10cXbUNrPISIAeJM8djZIGtFLbxpZ6Uz3VSx3DD2Z0TceVC
hrFN8oPKgcnByIZdbehXptkuK0diVjSCYxP2e7IX9702bMu2YKlWEjBWZIDzGOW9HSjddCUpvSzC
u6IPT1Mdf7YDEMtEbWVMf2JSAOXnukq2gf+q0bsq4Q4vUzHc+mm26UgaTpfdcAq0eDPqYh+q4mw4
xZU5BLvMIUrTu7Ad53z6PDr2eOXB2E4rc2pwEjLf8IDGwdLVogChHPNVwTctcqda4sjIl3JOTOb6
8C1KVUq5o+WtzRkDa6XtmwLeJksfxqPqKSCr8Vv2QmyNwtlHBsmgic1ww9LQihd+IdRWgyu0dpQV
0PwXyY3QfCjDyDChimhuCtIELp/90ePp3lCw8FFaw1M99e8oPMm6bFmmhpa8Gulkg5vrwhDp3G7N
62igg60vCAyR4emOvHsY2/yK2KCqASEWFNE5BfG8jdVXrnM/6KnvbyOMEiTmICKGsi4o2fZUM6FO
h8pY+wXIHRZUpuXvWLaNZHstbnKX7LLH/lZ8h36JRrOOverLo3RQTJ6ayTaHc9pVuzJk+KsS3NWl
ndqbOCbxRW/fq9GENy2y1bJL1cG2i37TaA0kSs09Op5Cw8IWvOgz970uy5YUmMteN7GfUs31IQFA
wzH0yT1YJQ9zWvgpxDyWW6NTvlSB/YqQZK46P4HOMkEJEdFA3/VsGiukudB1qvuaDtF7TNVpBPKh
YpFs0ko72UVzrQX9MffLlyGWLOUthmfIMa2h5s2YQ5TdUodoxMKAKVJ41WtMyM+dpcbOdGgPdA2m
uU7e6mZyGbQk7JLxOYvMb5Oh811C51s65OAAQfxMB3NUuMacZg2z4CZVc2dShJeU0lDkhcg76Wmm
r4Qq57qQfcSKm5ymcpc1S+gFD+Ol681uVUdwE6HD1uTEXEmS8pCn+9Okj2C66Vzgt1DtvIIgVVuC
97fsgXc7XhFPxB7ZPehARaDddelqcsJHs0Ge8+0kgPDKncpPheQPZ/8w2/6sSQCzxO2zsqC5EpmD
rZ2rSsJVkReVj9HE98lIh4Z3jmVxohMFr0wVnAWghjZvmc26V1fIcW0O6e3IzYcJkttZIDhAUEHu
g76ncFMWj2VWHhINyo/XT099LSJsIpQdpB3iv6Ob2pINzGcrxD0v6I1eZRdpHs3QLWtnJeU9jV5b
LfYUCx19z33uamBlJ5zyLeagg96kX9rs4mzWlkusuQEwXaOhvqmBEDBwJHQyXCAvUwKfpnvhjP5i
YAEKTaretk4sl7HdntO4v2IS2bDZfRhysJsp9W12b/IA9rZapzr7MLxY9UpQ5rrVQv6px1VlxYqM
WnHN2LomvTMdv9BlG2VnSGPJwve6AxQorqCuOGBXvc9Q39ZjySHIK4s+3CncatIg4yncJTA74Kx8
0o6hYWIQIlirtdB/u0LP95NJSd0QBDgjrTqAJmDtbTu+ivoE1j0wMRC8WAvjgBecI3dTbvKRcPwr
sxkm1pYYet1SvRdl+Eg0Ch+L9z7Z1rty9Q1EiKcyDSker9xVZ8X7IK+e9NLfWXZzKyGNWwkEJHNM
l3oWHc1GvoZ5tu0981Ok0yHs42v6nHBmdvptYc8vcc3BJwqX4t+x+/vYzf7kH3wcCKHxWPZ/M3jz
dT+rJdj7DdY+f/oDf6yELGITYCTRISyLbOJPg7dJ/yL+Cp15jVUSasvPg7cQs5BCqRIm95mr/Rsr
IcyIf10J2eypPKJ4JhoMP8pfBm/KlMC0NRSVqkbnAzbYcmFXNnALW+4ijzcRhc/s+HWpn/mP0I96
ljNUuoSoQXPo5VNMLcyJtZdatJZV3ya8OHaO6ttLmQbVR9UF+dbLUCWizEO9ZN9BnAA6PkskhsCr
tsm7c50k9rOmu93GCLA9LvkkEUkvguIyBcn74WvRzagyh4JXQzuwkJXbyXfz+84fnedsYHcjTac/
dW3kwcouSqSEXks3hoP7z+p1kC1Wa36WTp89gQwsdqEDbLqogvZ1wAW6RrmO116DZOAlkqh7NFTX
kgt2hha9obOhWg1o1yjcGlnWd6ANkX00yDHSpNqVab81vsiWdiiS6BJdtQcbw+65OXsR46IXGiq6
jdjj0qjYQ86ceAl58tIXbOKIANgskIDQkIamXX2opLZymCLio6sVjMtxz7o6GcwabwhOEUFDxbNL
n/LrqHlOueBsKjZh5DqHkSjAbSfL6dVyHCb8gtTrMZT0JMahIbZBNYRvPEkxpd3T9Bq00fQJTuCp
0epNEcYHzWOHkxvMNNJBlNYqGbKeMPpxm44+CQmDCti0VMCPOzrAFyovscDEMow3bd5ZKMdDzmCd
1o+2F7NiE8a9xQt6V2kw6SIEGgSfpiP10Lq3flTl+06j+hNbj3upRK2vcnMu/DE7p7wLyHczfWbi
TfOkdrCyjlInlZ8T39BWTTdAA9bY59F3U9fdCigKhG+tpPGxCoobbr+z1XFyX0Lee6tJeMm9Yqy7
8CjKObUMiM8GFMmlnPBatCmEtKlX2pGHF2qxN5cYh03wRBJO3hdJw6asVNRwkPC+igZ86AXeKnqm
bHugAqwFnTAkIuq4MDrtKmw4IZYhEO+dOfD6dWmeyjAkKGlds2UlaK6XrvFZ0QO/qWNUDsG7fQGh
2Pl3BWJ8fxezsfiHd3GZvf4dENXmq356E/OSNQiouX9WC/x4E5t/2OxALM8macn24Sfd2v9jbiFg
yrHYlxMiRwj/yd/NSl/XoXLhxJu5Yb/zJvb5Tn/VrSGHYemzTF7DIMd+XYHYfp40zDTj2e/C5spL
uHdiQ/OeKD8zD8hf6fNoQPnzu0E/sf4MFsM0RCxMh+nBE7K7jfQy25Jw4e1Bog1xtWvAuNcR6En9
MssicRpm56cze0At1fH1g6/bK9yq/ppqUrXTuMArEy9c20UUVlVWCvxbL7ZJIQOAI8Q7GjzlL3kU
hQc6YABFaV2yYhWIOQxRgeXG+CBMmD7zGyrIvUM/O1s7iv6Oxex2bUqplmp2wKpMP1MKVHKJTVNa
9Cj+o3gGTzCiViks5D49meb5NkkgSBjSvu6KfEXMJZyB/s+RCgPQGgPWoeqQlEx1sELTvTkJ4l/Y
Ka9CI3zS05EaS6vZ2FVx7eAaWcd6p207N5zIg/TWIYp0b51Z2dHQ6nZPAY5Y6RGdpmlW2OuBFuCd
awz+gvtTeqhzxNmgHK6nBipplSH89RpBJM1xAH6Q5jJDcZlYvHqHkd+O1nNmxbKyVpi6jXPb0tQ3
erLa11F7oFjhpa483MUZeHqkoWRthJhlwnrqZjBrtGbsbFBFU30TuMYusTUqhZsQ59CwzbsUWuzU
V69Em5OT6uxPChlgseuU1eUOa17Az3DHwltSddfEHq1FqtTWHLIH8yt2BeA0XiD6nIfauCpNCCxh
S2Usw2Wl6VvFW3gBVWMdgLhnhZsSlxrskDggF3KvyI+tZXw6TtlvWlfeDuhAqEVkNOmPtRd5rp+9
UOyKvNwOlnORKHGqpL6N4Eyvpyw0lm7gXo0BEncYn/Mp7ig0I74I0g2laTw5XIerVLv3LYrd2erg
VOz5J33wkpvNm0VgbCUi/x147paG2Hvq4magfIXYXRHIBPc75pd1ih6xNC23f7f9qVkyl+FDRKC+
EJIzHwkqTi8Mt2aw6UeuPZUAhucZjboIQa/s/x2Mv7+MMfv+08sYeeXv9tF81Y+XMXIouXnyMr4z
l5TyMvzxMrZ45VpIqCb86a/N8g+l1EcOpRoFtKJBVh0N85eXsceL07PBh81c1t8yEbFG+eVljOiK
h3ZeiftEoC3fM+ex+SelFJJWVqUA9s7YoHiAnPlZIgHUvzdJvx5spiA9D9KdFnTcVQ3xEHSQWgLW
oCvH8d66PLv1cikW+LRXWK507MrxW6/p+3aoL3D2hsvGwfYb1wMRsaHbpJbxIj0VbltTtse8rvf1
wFAyxWer0/aQg050CCyMpqXqiDZo+Oxczb3W3xUxqUbGRs8ifSDdcllq0xWdG8Eyi+WNaXXPrB0w
OqUFdTGawUdFu9OimLbfIWlpIYw3YeAes+Qpi8cXGdLMkDjJTduAFmrqdmnkzjHXayRdEhdjWZon
vbLPEc0cOELs40SH2lD0R78NPiohj7GJw4id67Wt4KqGRXCSNldldNlnNKA15VjGKxrrf7N3Hr2R
W2sa/ivG7NlgDgPMAFNRpRxb6t4QpcScM3/9PEfBVqjusW9pUQPc8sKwJZGswxO+8AZB27FnY1V+
D1T53qPMDplZK6ZIXFz1lkQJruWLQCiJIvtoiD1/rvAdXDk6CsZ8DcSqWrQunpngyJOprxbGMsVA
1O0pQpd2csXZeFI13c/ExBA6stTD3i6WtR5he5IkQlNaWdgwZQvXOIlURHqMbtxrOkUGo+lgDeos
BKIJ+tFSrm0g03Z4liZ4YrVpf2hX42FX2ejru/lN4EMdJTpHKBo2bVGR30RRfWOM3QEUqnJSV8lj
ZpdHiI96UA9p6/q4n6bIJVEWRma6Vvcq16GtUXiXalxi6+kLlTwIl52JpyO65/epZ1147rBsIlR6
kgxx3kx9cnJ76PX8YCT+N8P6mv+3l2b0r/XWtulABBXo5PqUgn586PTJpXmYKbhpOohnmQQ3M19z
fWo91SMk473QKhHqo2JSN6WHak90pDTFPM/ArMgRvMxWqi6UtlyGRvRDH5Sl47Ep57ZBtwNMf52B
FUrT5KwJffC8FRIS9Qg2yAVQ61s5rHHHnkZjeZQ7iGKGCagkCrJL1csOIiw/YwfwZ0RAokfdfujX
4dQvh+PSYex196AGf4CjTWANdw3E8Ws/rdHW9ZwEl/Ustc7VXLY1b2KXiXQm505xXg2iAIKn66LW
5EUk+eakUd1HVJQfXAMAn5/RHJILa99K+++VWd7WEflanmVnnFtLyY/OFDACNopuU1pfs7y3oO5Y
LTwvGbsFoz5WtFjny+V0jOmhan2IhGevz3EW7iDRWFgVI0c6zaF41lgpaeaw7k11Bt7uJ7TQuewM
V7xon7hGWg2BdJgW/tKPpFUK8AztmqkXon+IdHiYDOiJpWhUQdUe9BHJgfpaKUpsWgdvpib9ok3I
KbSA3CYoIkq6qmC7LzsK6Eme8EK+10LftW+E9Nu0BSIcSC7cudSaDUk18wPnJgHVBGzBP2xzB5uq
InAWfWLi2hKle2RlxzQ07iqM5mSA1ENvYeJEgIQPzhEUslVXkvYlqkzRu+t4twbWg81eU5V3Tdme
0HSfVaF+KQfAspwBW/HIMiH4wXCNWIUy7a2iF9i8SL4wGvehwI4XDX4SQ8ezp5XV7ike9USpwD0Q
B1hXHvHXQjY/DMCP2EE79fXmqLPSgx49tUkSxVPds3+gbzapTXsPRAMNQnnpWA0u8u21rOYrV+8X
Zku8F4Ux+1+fSpPczM61Brn3YCwRvfTQ4A/3hDVNHrTHrjleUgefFGp95qrNflm02FsgJdY7w2wc
1YVplnMNeVJq5e0Mcf2RXVhbOEZ9QIq9sCkVTB263EUu38ZupVKsbn5qOEJNqVVoWOZ6p4qAMHre
mTLah7hstNMR+cCFOXb7shlBxgI8EOVeOE+kQFhXGc0Sm6VTLZYQsh9OVcd+1NSRTkmO4iNZaGlL
1PqLdNpJ9clQ56e1ZV/1QeMDccNrqk8MZ96HanwTae4w8/L2MayaAxTmvsdNugrRGPAdqAFNGZw3
o0pDrXw0vGHeNEp+7Pf9ogjHq0hRhREtygGAN6vUOCslN0M5wvkhmeV1X/QHXeLTdG0SCyiDPa0V
qpKI7fk9xRvcBPW6ZhvXh5VbAGGgVYco2p5ZVdH3FqwgaAcalgtprLupjfhZLAcr2pXhJO+ScYb6
xr3eas1saLN+VmGl7IzjiVIm2pxwwZt5qrKgh4LtsIYsAzj1qVNHR1AA2S5x2JwBvrnOQvU0Q+WA
JjH0xgwNAb+6M6ji1zIlYGk4qcyeai77V2kBqE+N9KofpO95n13GgUrDONVmeRxQG8EvtY3gQuij
jesicX4MNvGspLuHRKMV7umCmGHCV4fop8DSPXgTT4G6H7wsfWdxKnLBd+1yy1SANqNkgjA0PDAB
9HoTnlQFhrODozknykUyuTEW7WkxHSfJ1FlfnldHqLvNs2m9Fxway27m72ULf9/A3evIX/47wH0O
cKnF/ibArddpUMXrptpQ++Uv/wxy5W+EsRZKOnimAG5/G+QCohcoQB0QhQEXj7LrK1Le/iZblqGi
RU6j3nz60WvFwfomFMBNh1PTdJAX/2cUPmFK/H4W2TJ+HmA+mC2k+jKP/nYWSbakRWUfZycNMdt4
FKq5ER4ruhyq85oQ9pSzpa2nSWxgIF6cNuReOtXXeakml60CDRnu3WGhlj/iIduPq/Q8SIJZLanZ
RAtR0zGMI1ZONE2tbulpCFaWVXRIOfAat4EH3AL7SdaqFeoUZnaGXPVCSSA1+yOZtetHaKVg/BnX
4VHdQGADnwJ/uU2VWxW5ElhTXrzoPCK5FR6TZbCvRmbtLTFQABQlQwcHtZxrocmpBKwEIG6+sgIr
WRYWYhZIoOqXmluDeXOTLmxmjkNN97AMg+pH2LkgGlokLxctDiA4xjcYIVSpCcPRMSpab6UB2fnJ
mY/DtB3nxZNjX0KNH9sWfPwaE5J7F6fXVs62C0F+aT+Z/uH+l7uI61gdhoChsAak/nFEfaWYqlWt
g2YP5sXoyrCftHnmwurDYVAqx1VtSectnb207VagyQB/14d9Z5w4Lcq4Nl6FZawCnQjWuZQdYFko
TbK6OWqEvaGFz6EtorDSUc7bRlqZOCFilXts44yoauUkkbo9mFLEm8meh4Oi56THCY6KTYZy+FCd
O5jGocB7RbOf0MPacxXvxIS0Nyni/CLGo9FKcUzP5WVnVOdlTaOy71ahqV8nnPcyHo+OXe3HKIZO
MWdT56HzmMIb03GF1FARpXe/1HMcBrMKddfqFGv7H+iOEJnasxx3yRT3zTFDLBCCPWjJ4xTP6Ao3
yhEyeYvcpg5hjHdJs5tmPu6VoQvzEDfLUTMWJF37ZDLL3JR/qka4sHG/zLX61suwwxSv3rMAC5UK
KkjK0sY3UxH2gQ1Omo3qA5EPj0tkqqG6TetRujJw3oxD8YaxXcFga1XhzWkHEDDw6gSuSG4QX5PG
XGWyD3VLWri5cajh8Yk8CLANKB/moBx2en/b8hBTB1/QCH9QFH32wURNSx+TSfxDqTUfdPiJZhWI
WXsoH0pLPW+d/rwcBLjea40zCzfSwOywJXX1o8FQUW2L5XBFDIR7aaBmmtCTYryMvjiRTQOVHaZU
4+irGKTkFEF7SiyVcz94/bHcIyWUaESQCNYWtTnrEepFdt6aaUXxsw4Hpp9mzvLcXZLNDQtJc/HM
iI86B1FAO2kuI4BUmoTuXaTXeBdmI16TJM4TLdGtqeTT70fsJsXUUDlydf1cxxsE31L0qsOeN071
/DTMpWWlQwGmWbuXEwlPpQrVUYLDIwyblpGLSjKhsUy+hGItuIZApULoNNUp3iuIJenVgaqRmftD
hesy5DM3OtQKaamAjkpMbFpUoZNVJHe5nvAyRmlGeg3l0YX8EdTmmRHbK9RotFmZhVhvRy4snbGv
wb4000wGgKr6Bm7eQX6YBDFIHsIXmhU3taVjuq0m7VRKxuNG0Y76KLg3NTJByVaR3EqNSS8UL9Kw
PTdT9TtSUvvwC/ZsqYkXeLrm4Iy6I8NRBiwo2QESKc6nTp42M7Vwmwmwm2IRNsNhBm4ZQ5ngJIqK
q9ZsMCb1+0vPNJjvCgaDSAm1dnTixgwNkGpcMcvwikA6nSK44RBxS90hNI34wDeIKf999j+d/Qa1
oF+f/ZdlAHV/+Hzwiz/78+CnnwCjTaFFq6sObJZ31S0KW39R515OfaCWRAiORWELJRkhF/NXacvB
g4Q2A6e0Y9gyBal/0mew5PelLQPlWEO0j5m+/ItHETozb2JHYES9WRRVcpoqua4fVWqDTNcgjNQg
lA+d6oCIoTWAolF+R2fv55hhCESmdYGpFcAr63aAxjrPG2+vRHyuyIN0UttUbBvdOpZrXMNYPTGF
JujLbsbBQRrhL9Sc1BIO8bEkuZGwXK2nbNcn1VDfS6LKbDjdvc4JNvcp3zZIHgPbDA56nXAAwcgj
ifijlDNjlvnaiMOniQsYQGRgieW9lFHmKZtSCPIvxiQalrJq30q9svDR5JtQVduzrPo4HSOQSxEw
M6PofnS2dBXXQzwNI+VCM+obj8rjEuk6m81DM088Ov/ojSGc1xhROVcGb21ZYwYkhZKITcECa4GT
TIAqALlcwOAuJj54i16V9xPZeNDrZKmBx6j04ABkdzQtYRv2IDaQ4uO3nb1ELm+QGVxlPfg2lAFv
MrAeTkiVG/Fm4B+gbe5KtTopx+DaAB4S0R6aUTAFMWKYp6j3qMBRur3EDyQQgxLARKnxFkMUXFSB
dtzk0vH4hEWRA+RoBD7FwDFgFSq0oA2BXulk/VQyOqDcFXUBQ4K0APbsIPTB24YC/1J4kI+LRp7b
QGPMisZ7R0kLKa59OwMMJjvJST7oDpCuAg3+PFXxjBKxDqibUmSd+RDby8jyy1ko0Dlm6yLwKhA7
SsxPrUGFU919dwH1oIp2asrNiZxhPoO6SbEsgTX2qoooIZAglf7LpBcoIb0bIVUBHEKWpZyWqoRq
uUAVdYgayMCMfIE3whjzNkQAB8/bU+qZKy+kkmCq4RIBuauk1vccpU8n0Whe1WFBEdf7Dg/hgY6h
RJmK0NUQyKdWYKDQ9LlJQ6jvngovy8qvJYGXiqvuSnJAUPGncDMEqkoT8CpJRclANbHRUrLHpEJ9
OMjyI5K0k0iHMl4PPe0scFsNweu8F1Auq0s81kppQ7sIUEAA8QW3nVNGK/t17SL6Al3ChVoDREyL
wusGabI4uNJqJWYGAiZjrc3oRhNc1Va9TFHro5RJ/75XVBfJXqwZ8g6EHepjSRhosxHMGgQOH55D
QZAFni0QDomDgLgFT2A3UG8u6LeopynPXLvQMcYYHiO5SLC/QlPIquaagND5Pn52qEBA6H2UBc4u
t/THcpR/OADw5C4+zpFFVAUyz6gkf24O+EMPSXHuN9U61nGWCYaVnY37OhL40/IJ6YckOGRGHSLm
8KhW5U9Pag66rD6LAQliFRQtgrSejcAHNaftp4pAFCKSoU5CJNeIb8AblnX9mAtbwbjvBKPJWgdF
+ZN+Ady+DLS3KpCL2E0gs9MIgKEh2ajl6zfsugXhWYmLAeDHGkWvCS70wYwN+QDd+X7pVU2z8Md2
vxboSRUYpen3a2pRlEEFwrIuqhimJEdwpRd7ZmLO8AInc/D7i9ooKL0IMEkPbwOVJsLv1ChZdBlL
wjaR2qN+n/XucSY0KvXG7aeW5F24rn6S5c6F4+p7Wj/YUxP8qmhYnbs5rBRPKRZebcc3ZYe3gNu1
hxK5JKhpsbCN8NoywRGbbRct2FZxc1f92z4Fb9LowQLZpH029PNBz0ALywm1FLU5A/GD/6RhzFrI
AEufwt20rTQdlguYDDvd911Tn0ZFjGF9exYYSOWpYD1d7BzQnSoJ1b2Yv23bCwNty70xbW4rnHlA
OZTuRE1VH5WlQppiQfvo6MCHar8MlmBgzhBlujU11nYRY4xHkIZ0aO95wsgxPZbRQZyUWXGj2InA
VQKdTAb0GTUV5ggWazgSsmcbeSovQnq7i7jObtH/u6YdqE9J5BYIFeLCySuHFQmhttO0aFL3srcA
YcWY4oqyAkcP71eH54R+GIvGIP3U2yt/iM46zsRpLaQ6AwO8oGEZHtoOA9PNtqJZEwoMoUA25dKI
ZzkIkwHDQljeaJB6MvJMUmReGTWYfpw5jcw4RUrmoVe4XKWHN7BjiEwB4EzMJj3EAaxAR2c84vzv
J5aV7smKsqrjvIRApDbzSCCtijiMVxU6jZrKwo9T7Voa9JM6qO+7Il7gBnHFYS/jnQlcnPN/VQXe
CRn8JfoNe4jTd1ibYkpCBoPZD+AuF96SlQ4VWTjFa9ozmAJa1l3QZ9IsKTNvWgiwypDZ54qbFHMD
OxIUp+DT5XkCqS9u3JVcDmtTYjLUfqsuaNagiwg03nal/cDz1njwzTyK8JM+zHGnp96WWvlpFrUK
TX7Zm0uKcYe1E2jrOvihywE284V5Kjfm90w3AS3F/d7oaY+hjJOw1lKQU9USNEOfoqxpEY7XJqR+
GXe0eRrCGVaCwZkUo/LDrNpjR6c/NBL2I3zKru0PsLlDi3TOlMK1jF0rXuK0PAI3nBZtfhAIgA+m
5cthxGC+0QQJV472Qq/upyh4ct7V1P8K1U2nmYAGwYu59z0JmLbtlYtW0WSEItt2lslYmEfAhQfJ
vKZEr0wwwjCmSSFd+mV3BUkEhlXgTLMuPmwqxZh4jY2kJExjCh7+RW3idUo0v2q8ppomMsrBaXPq
xUj7aFVNTpNLDUkc60mjadh7UjxTo3QlETmxIEOZ6jIOWV4iBIRZ9qXPERLuFabcTQWsv4N9J+Xm
oynTBIQpNrMSQddzokdLEO1ggt61Q3ngcJLjNGLcVa21LGws31NP2XdTDCecsUUI2YyuvSTBDqMv
1alNVhJKCX3EW8wuDgkMdBDNOFkqTbifG6TYeROGx2qAwkeBJadtRz88yaB90IWXSgk0Nm+kcyuh
daGiAqI73XVPzDUx/RH+Yp6l86LGkXowaDslUcHXQc4QNF2pz+k9HdhQ3Gx7EI0+jGhZd49ga2hd
0U2dw3NZoBR4k7csXb9UzhDZFMmidqSZQS2kYLDVjvIL4OTG1ECcgvCyZ58u06NeL3F7N/V9xa7v
aMfQCg3q66KHDZ408hWG2fv9EF+qOAnPuoot1ZJvW0HCsCkSg7i1ulkWN4d5VS5SubcnVFNIXHMZ
GTgzfHCIjf0WRVM8fB/GpNwfnTQUNqwrnCpuAvRsa7BreQtJsyLKsyK2PoyRm6nvdNYyo7U7Kxpr
Kfflo+kT0llZj3wwMV8bkiPTzaX8s3JdUOVRunbt6DasmxNdL/YRS1JmHv0jXOM4KTUo7YV13vvK
vDdAYbhFdtFXzl6uI2hPoauQw9MaTSYYsCC1NZ9Gl5DRbg/LPlshQDmNDbnF3z5U8Cz1LDU6i9PR
vBmywLSPC4lWwRkS+Xk7G2wT0mMuPXsI/Fvj3aAe/JsctInX5cOGFJS/ek1BFQshOITeNEARwvee
LPAVYIH9t2Fpsg0fTojHvcEda+Y3AiKRbAoAxDMX8LX2LHwtAcJZVK11hOCBJP8DtBs4ig+1Z24M
rhm1ZoFuJhv90MGg2igXAIWaY7S0MegImp9AKHEfikB8ym08G8pYUKgQTsrcowB9jpmhdNW0TNvT
pMpWFlx2YjhsqZy2QLYiOABuf4RBZDeh/30hy9F9S5A4lbKWY0XqUOntVGz7CGVd2fSmSSVI8PJ1
B1pUrfQbp/CopvqOjhcFPUBHGhdYEEnzovMRfSolkLx4EAWYJRl2+jMfsqvWJ7XKahREXNP8Xhb1
KoVFXzvStZsOuNJa4KWDozbyD+ss+FllNmGvY52WmoGauGfPE74Y7OrAXKoqjoBK9iMZ5GGuh/hJ
YZcbTYu427Od7mpQ8xI3826h6yPmdyGCznoXYA0m2fe4pRkzOzYPqzq+xN8rmtpohRmRfZ4Fzj1a
EKcBQu2oPJOCyF5Yz90O8HHego5L79D5+OEW6gntyzvKGUBLotKbN2ln7VVWcurlKHr61QTPvp+x
imZqHtt4jSMtD1oju+sUB6YEGlnJUHaTnDrcbECYakHPoJwCXD/EiWu/0N1DYsPZGOQlsUS3kMsO
RRpnz1ONcySxHtH1frCS8lILPFhv4w32zclMFghpXpIjl8ak64AZqDLJGi5c5pnZVke+0z9Sjs1m
lPeXmezK06YEzZLI6rXuGed6jYwg5umXuqc+NqrZ0msXf24Qx+tac5PQqq4yGpU0X4g9mmCG1nS4
NM34R6aTaqh5A8/awE0JDYRpoQCJk8HgmWO0kK08nAAYXha1T+czyumY5rw1tG+7KbBOiiAQCIvR
XphIGC7ditCC6GmfsgT9D+qOE8Am51ZMXy6lSM1RRgvRFYkuvsly3dNaHKuQbiIzzgABPbVHJvFQ
8Q4TNffw4BsvMq/krqnNidsuXLm5GG1tP+jgdFpqDOuocOmGxpD/2ya6A4ZwY1PQQpAmv5UVfFHT
zEXwGgUgrLX3gKkgsCD5ezIy8DPJitKpLGdLk/a5IgfNtJIlZ48mBn5krf2AQfkhmWs7gT+Tzyll
rEwP6zS1QduBQwUReGMfFS/YRzVsOZKQ26pxyJRLhe7/mI+nVJ7UAz3FjhuDesdbxarjY54edde4
zpXtvJQqP/jOMLj1iVoLezkzMLSF6SZyemmR32TI4ua4kjhlXPlT8gLrlKJUAKqwCPxTrei9HwHQ
mSpmCk10X3eP8wrYSW2SJHdgtqjB+pbjXfiFTDriGP2ZHEtI3BcBqrIWoEWC+5hms21WxaqxZJfU
IehrYDmyFqPbPWhTpYvPMEnqiyWKROpN1OHHdBSnecM+E/sIPJjWnewh4EdjaygTDJ2pggmdct0o
MF9ULe9Srq24+qFi4sYJrY00HEjETPdnZAS+fiSj7IfVtNM3+b9Lts/gcLRMf3Nc/mhu1xsOy/fQ
cPg2OguX401BuOyvwxIHaHq3srCH1j7otjj8xAHCKPrwL+3d18PSxhwaNX1soNUnHdZ/VLLV5I+H
JfcAe26Ko1lIWCsfoOFxXdZyn/XySY28GMRkY2miDnagSk1Oqqfk4JvRIwP4grJR5FaLDKWRaV3p
+2VmQA4WSmaB7hiHpVA30590zjoTBWUM0+0+PyrxU81bGRcD+05pkflUkw4wdiM8druVg6B9YOXy
LGePbioMQFIHVW6rQ6sbGXw98NPLwvOQes7zO7OzD7ImvyoV5IvpLgXYfxZ3sdDVz4TCftF1e73Q
3MdN2E/PZI16a6hTi9RQp4LKPK872Z0mneQiK1E20zguQAzXa6vx7tzE7hbISctzb8iLFZxevA8y
6bxGEfTUQdJjkph0PWKNU8MdLGvmBlQtsPODEOMOp1BtkAhztPsqMM98gy5oHRCB+9FNoGqXdebk
MylUH3KUjufu6F2V7GoByPAGbvIkGZU9UCv3BBbpJPT9vciBfC9DKzHVH0nqHYSjc6kgtYLhpihH
q/JlboVYtvASah/VsNgld1RrYz00FdLYVnUDIQgAVg6cpODg6HT51I51Zea7wVngkCNLSYe8yDDI
eFun+aNc5iCDRMczOGiHzFtpYXXemOAHe4LwyViSkGESNgnNmGglj2cW5TLMRCUQbqmjWhRv67iK
0HFBODRIK/vEUfNhiWO0OmnNcIVJqnPkVeWDWiBK54yWdyaJ4toYGFgXtNFxMaiPMcBrcwJdTJ75
oeoco2DuTSFR0jeLDG9WG0m0SNkM970oO0HLjc0/tk86SvRT04Tk4w0URyO6ZxWGj02pHsOIScm3
R9CSATI6SpOBCzKkZdiTaJLz/zRz/ztmsA3iTM4Uxdp0xn7JuHkMbpyGGVVD+A8B4Fg3u02QVKEd
h1xfKp0pdv6oYy/V+P2yKXp7mkZmOZXrUluZGJnkZrLf18Zc97STQYlOiAz6qROThspZeC137pWR
IBGKfQ8mVZJ1VdaewWOrh26uVvT5qNQWRYJUqyyfJ0O9L+NiW0TheRAgNt/EPzq5vIVqkeGFikbF
QE3CLqNmVkLAnGRySqmHwTV0ab+NNX1pyvRSGmTZybWtQ5R17mx11GZVPVznmgoLT8kXecXJl9Vj
MRv6dhW5o0zfWT7u4u7WF7p5plDQS008PzM1v9GQNnTAaZmI7YVCdc9Gfq+Wu4VVinquUOYDSZ/B
FWgOeqHaNwj9vnQw7msBfy2Q2UiQ+CtccvxAqP5FqroM/eqnjRwgONorBXlARarOeD6UonR0kBAQ
LIWSIA8888a2QxU+OrJBP6JOJJ9XjvZzEDqEsN7iaSC0CaVokFaZ0CtMKaS1CBjqjfTgI2homygb
5si720BI0Tt0hfLhWKKBmFj6vHSLZhYKfcQEocRQpoxtQ28kVqvgZGToKWIlDzlYaCyqiC2CVwNg
KPQXXUQDETcEgoH6Bp6i8h0SIi+ubf8P0tKXRxSuYPMnU7Cz5qEczh8qYqPqNV8TPz3NKJhfZv/a
L/3+Qn9gtUGH9HLIsSNb36PThVx3XQZ3tUhPn362uv+v/3g+ueWPie7Tgz099W+vE6+5R3PPHTSy
WcRIdfqaWH3y4fCOM2iLzz+WFE5wqAKcmio5MEn1mzH61Sj8/gs+D+fvf+e3D/9xED6FL//KIJBG
G2T65O7iw7B+GgQbhR0IbrswCG8nAoQzgGnvqh1/5/vzBf+aA0jo8YphSqOULz686Xdfn5IH7SZM
YGnZPn12YRA+LQcxgf+FkRDv+u1QAOWzoY1pz98Ujsy7oVDVbyq4Q0tADndyNSg88T+eDe/HQP+G
4ByMTZ2pJT4ftwTF/oZrAVBKQd98ni47ORQiEdhyKOxvqAuQM/xqd2RlWHxgJYED2clBUHh7Ww4C
phgCdANO+ul1f9oeVBkJNPB47A47OgjikbccBFsw7gAyCGjR+x1BZgqoqqOhYb3Lq0HbfmOgKE6f
VhfS4E8fDsP3Q6F8Ux2stxzneabsasTwyfHs75yY7/dIiO0gyZn0FOLF59M5AULdEf8QWu3yrBCi
hFuvDKQRVYX29vOsEAP1LoKUv1Eacggyn+tMuxdBivbJ1oOAQpLjoH/wPB8+npnEDWTOsHVf9uPd
GwTBb9hyECxYGaLIhhzP0+fToiB4wtaAZbGrO8PLCXbX/6f3kP2Z6f2jhIpNUjCzDYqeT58NM4F+
In1AEVcx4Ls3E+TnWGabQXC+qWLFEzj9Yk8QEk02LFD9eent4CB8LIr/4zMCUDKHJbGB2BjE59Ny
0BklXMZMdVeTCXn7mAGHTzDchvqyGkSK9vF0YMukzG8ID5On3HMnF4VQS9hye7S/vTDPXg7KT+GT
iqKZQZ9CxJi7OQjPE3WbnYFkwsIAR1bM50WxYXskyAao7+xstPC8b283CBYgEApOL/WUj4tCpJW2
wT/Krm6PnyA2/3h7BC2jabJCKvHrqhM8bHgbxk4U3Zj6HyuPQs5qyz2B8ivy/oqjMtvf74sEjDQf
LfLuXd0Mto6axQmpKVDEX6ttH9cBUbNJ+QUlx12dAsrWNSa04EXbHFPqT1NA/6bQT0cI9yWA2NWJ
8BXxIse/xhd9zpZFVvp+Ncjf+CFqnvZuVxaU7QtNBAHg5w1Qgs+h88ehUIxvrAjODqpRuxwwCRjI
lpsjCq8iMkT6dXOsAEoTAQAihZf63u5lEcpXBEyoDHBIWC+D8HGPpBpPFGFCk9zVfFJ53ry3CZiM
bxoSkTQpn+f8pxI0AZOovwA+eg7Td28mCA207ZYDp6XuPEF+X0LnT+cFltfYkOgMw46eFMr2JwVR
I5VGiswvNaZPy4FeJT+jXb2rM+Elpt9mOTDbOR+wLwfsJj7sMu+PSxUEnaEg/7erSZQA4W25HGSM
VA3kDF+aEZtiBlOoHVJq29HloG4dPGpPJVc6czj8PH2IP97NBDZG/GQtG0Xc5zN0V4di+8DJ+UZl
mSobMsMbh0LVKLdB3gSMuquDsH20YH3TZNwTCZQ3h0z0apHrdGjd73ZfSt3+pAClQF/+z5H4VH5l
adCNQL7/JY3fwZhh6wybIgsKWuCfYfA/fT5mEwKgTckRBPaulhlEWrzdSaExE9D7wnT7FymVAPVw
UMjsoru6MzxvWdvFDCrcTfTuXloyG2YC0hk64eOuxgxCa2XLmUDHhSqChhb95u1R7Amo3MumUHPj
Xju4J2xfc0QHGnVmEuuXwuummSBYimjcPH92dCiEDeKW84HoCO4J3amXQjzL7F34xHFJAAnNUpj9
7uR8MLYeBAqQ1JJMMH+/6EaI7VGjZ4O+3WtgtZNDIVi6W84HDdqvjH76S5nhc52B+EowlnAO2tH5
oG9fdrPIoBF+NMxfZZcKzXuBAEVLazcXxQvSaJvjUkSPbJEidHqd9O93BhAMukM5emdRTdpzFWib
QRAG6gwD4M8/T4L3g0BJSlZluhe7GjNoXxEzKIQMEBJfZsLH45IqtErwyJG6o6vh5ezaZiI8IRMs
g8bEhwOSL6+Yms3ovEyRHR0DY+uzQfTpKD2C7Hopv36KFSi6kUOgNvR8r92LHbXtUymLZqUQUSRv
fo0N3+8IaDeqMj3dFzjhDg7C9gekQRaBABuR4S/OBhCvRBBwpnZ1S9C3jho1XbxoAWP8RdRIKoWO
E3EjKL+nz47uDC9Y1G12R4JCyAEU439VdFO+PamEox26o4NgbF9pgipj0aNkB/xwRFBi4gcWvPtd
3Rf1rSMlDgcoQByE2q9A8Dg2ISiEKNCuRkr69oUFKvCaqkIFeNkSPgYLotgoouodLjFtPRPoyKAL
jL0svdrNiYOwNVAVBfHgv78Z/I1j9E+C8tQP4vu5YApjNb+JwfyrX3jl5H7++Rvk2xPf9N1vCqry
882f8XHiv//7PXP5qY725qevdbWnO738/ctX/Hzzdzd7/V6v/3MveCjX5R1CBE/U6JcHPV4ncJv/
J+Zf9+uPuD3RJHr9f5tp1n8WEX5/dbSZH14v9IaTzdH611f9zOH+exdP1vdZ+XqhNxdnC9364hPk
+zc9OMXvra89XcfrlldSvV7rzbMz37e/Prp/1adXSkmbPO8LLp7W5fqPaVbVm27Bwbb1LWYP8R/H
Wblx/DkZtr7+PP5jlpVMntdrvRl/Epatr78oH6pNVrGiXr71xZfxQ5q+XufNg3/Fct1rktssvq8/
X15AOLd+9FWSP5TBOn691F9PLyCB218eKd/Xy7y59Fes2IOHcsOYCwjR1k99EKTeho1AoIC2vvbh
OtqwhwlszRdcuqoeNo3JVyzQw6z6439S7yF+2DQyX7FEj9b3bMCv4/BmtnzFEj1a4+Cw4dpfsUTF
tfNs0+4ugDJbv9ajh/Q+uws27V5C2+QLrl/ePdy/XuivcRfsru0vnvHsr9d5c+2vWKZH2cYx+YpV
yqXrh/Jh2PDkX7FSj9f5hokuUqytB/z4oV1/jh1xMv+KJXpSrtkCXp/yzev8iiV6Gq/vHjbEjqIY
tfWwnMZNsim4E73YrS9+HhA6VsH9hpERvb2tr3+xvitJCdJ6w1kqNAG+4AbpH5MHBEE33eArlurF
WtygTNfl/caNTLQ7vuRbzIIHb9OX+IpVK77EghVwF1R3m+7xFctX3GM/WxfNptNKSGF8ySgdNkH1
x8ltUOWbvsdXLGbxPY7W9cOm63/Feub69fqPybq8XW+KGUSd+CtGintMUd3esFmL8utX3aFsxteL
/bWn6l+ysP31xpxQVA63f3pqGBuH5ksWc1BFuC01r8/5ZmC+ZC1n8XpT9CAawtsPDIFJsmnOfMn6
/b9sSH+jw/e3ajgXosyy4RwWhdath+bywV9vGhoBB9r+4r91adt2XC5/p7+//cUpECWb6nKCRbz1
yHznCs2mtSqwiVtf/UcWb9jnRW9m+0v/WsX590O+qSz7Jy7yc7H2Vd1x05+9r0WL37iLH9blf/8v
AAAA//8=</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data id="1">
      <cx:strDim type="cat">
        <cx:f>_xlchart.v5.9</cx:f>
        <cx:nf>_xlchart.v5.8</cx:nf>
      </cx:strDim>
      <cx:numDim type="colorVal">
        <cx:f>_xlchart.v5.13</cx:f>
        <cx:nf>_xlchart.v5.12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Gill Sans MT" panose="020B0502020104020203"/>
            </a:rPr>
            <a:t>Where do our customers live</a:t>
          </a:r>
        </a:p>
      </cx:txPr>
    </cx:title>
    <cx:plotArea>
      <cx:plotAreaRegion>
        <cx:series layoutId="regionMap" uniqueId="{00000000-C66D-438A-ACE8-48C289CB23B4}" formatIdx="0">
          <cx:tx>
            <cx:txData>
              <cx:f>_xlchart.v5.10</cx:f>
              <cx:v>Sum of Quantity</cx:v>
            </cx:txData>
          </cx:tx>
          <cx:dataId val="0"/>
          <cx:layoutPr>
            <cx:geography cultureLanguage="en-US" cultureRegion="IN" attribution="Powered by Bing">
              <cx:geoCache provider="{E9337A44-BEBE-4D9F-B70C-5C5E7DAFC167}">
                <cx:binary>3F1rc9s4sv0rqfl86cGDBMCtna0aUpQsvxM7r/nCUmyFb4IE+P71t2k7WevhDF01qrpXmtnaSaSG
WjwAuvt0o/Hv++5f9+l6pd51WZrrf913f/wWVlXxr99/1/fhOlvpkyy6V1LL79XJvcx+l9+/R/fr
3x/Uqo3y4HeCsPn7fbhS1br77T//htGCtbyQ96sqkvn7eq36D2tdp5X+xXt733q3esiifBbpSkX3
Ff7jN3eVRt+lyqPVb5vvEXhPprVevXNlnVf9b+/WeRVV/V1frP/4bWMY8tu737e/bUezdykoX9UP
IEztE4JsQhm20OMLBkhlHjy/bWBCThASlNmm9eNrr1YZSE7X6FGf1cODWmsNP+zx/3fkN34FvPvn
3z6D+/FZjE8/ACD++O1jHlXrh3e31apa69/eRVo+PizVu3L8oR9vH5/M75v4/effW38Bz2rrb15A
vP1g/+6tTRT/DuFVumrWaqUPALI4wTYjmHD+CsjohIlxGphsC+S3KPUKzjtDTIF6R+jI0D5fq/wA
QFsnlFMTWSZ7AhpvrWZsnyAsbEwJ3wR6qj77Md6QngDvxuePDNk/U9geHw6xVfMTgUxBBKP24wsg
3N6qCScmZ7CHPxmIp536DRrth3d7gAkIb4scGciXMq/Wat0fYAmzE8YZ5xQ979V0G2V8wixmMroN
81t02o/zzggTgN6ROTKk/0yLKF8fAGdxwmxqgd9lPq1msYUzbNUcXpbFze3lPFWj/Shv/aIJGG9J
HBnC12qVB4dAmJ5wG5tCsNcQhg3doshmCMz0yw17ukb7Ed6Sn4DwlsSRIfxntnqQ6iBrmIK5RUTA
Et00xQgWLyE2oPvoiG0BPF2h/QBvyU8AeEviyABepOv8EO60fWIRZGGbQFi0iS+BiEpgTq0tX2uy
JvuB3RSfgOumwJHB6tRVdYiNGWDFEOtCmLTf9BJ8YkEIhTHZWreTFdqP7qb4BHQ3BY4MXRd8aDXG
Sbo6RLQkHiNdm1L+CsiwhKkpLI7B83ppfd+q136s944yAfK9ckeG/G2kk6iX9T9vkU18wim2BPkR
I9u7GzcDr9tCDOKql6i/Raf9iO+MMAHtHZkjQ3q2Tt9dSaDODwO1ZYKXBXzW42uHDjGB2jYp0CFb
NvpNSu3HeneICWDvCh0Z2nd1ulIHgJqyE0oRJujZmx7jpQ13DGJlYgshsLW1qqdrtB/nLfkJIG9J
HBnCXvpuJhVEU//8eqbihBObWeSZ3bR3tm6IqewxoLaeyO0t3+xNqu1He3eICYDvCh0Z5ncqgtTa
AahOEwCFRITFLfbKDk5ObPDSMWQnN431G1Taj/T2ABNw3hY5MpTnkJ3ND7Gs2eiRMcvC+Ank7WU9
8pzCgn/wVoJ5ukb7Md6SnwDxlsSRIXxaZ99k+lD981v3uJAFw6a5y5OYJ5hhiiBr9YT+5jp+i0r7
Qd4ZYQLMOzJHBvQyK9YqWqX/PNCUgAkmwjIpfsovbyensHUCwRUsdmBFx9fWvv0WzfbjvTPCBLx3
ZI4N77w/zMYtEAH+kz+zZDsb91hVYjMGfvfmql5O1OcVhF9KT0H35eePDNlzKEA7RD0QxFNQC0RM
03rVJjN4D/jP7TKRqQrtx3bz90wAd1PgyNC9WCWHCJahxAf2Z44g+fT42lPRZ2MLM8G3ir2m6rMf
2w3pCdBufP7okNV6fYCEFDhaJhQMCBuokMfXtv0lUMgHb5uCbS3ci9VUjV5Dd0N+Er4bEseGsNTv
/oSygXR9iP3ZPEEWIVT82J93akPECTEp5J5hmY+vLTfr4m3KvYL4nkGmwL5H7Miw/1p/O0TCyj7B
sLgh2/xakS5kJWHPFlD6telvTdVnP84b0hMA3vj8kSF7uXqACuwDxE3sBOqvoViAP1fZw4LdILBh
34aMlClMDF72y7TUdI32o7slPwHfLYmjQxjYzAMAzE9sbgKTiZ7Z6+0dG45RWBSDWba3gqXL1USF
XsP3pfgkeF8KHCG6hTzIORl+AqsT1q94dr22VzDQmDYzuSDgeD++ttexiqZq9jrSGyNMBHtD5tjw
XucP8j46CG89mmMAkvNnqmsbcEIhvcwZpfaWq335FqVewXpniClg7wgdGdq3q/zdmVyV9aF2cNi/
TWI+L/Cd0ApDjhkoE9t+suFbPvcblduP+75BJiC/T+zIsL9cq3s43ef+4+cf+QlFzGaCPScodgw3
hNwCfHLMzX2h1nS99iO+JT8B7C2JY8NZwob+z8MMdWGmjWygNJ9TzTsFvegE1j4UhOKt4OpyqkKv
4LshPgXeDYGjQ/cgphrYEDgm83MJjwZ5I7oay4OIEBBYb0dXcpo+r2H7QnoStC8+f2TIjiboEk5e
HyIR9eh6cw6npZ486214IbYCeMFbM/fY5MlK7cd493dNAHpX6MjQvloVh2BJYB3bkJWCtNOjqUU7
LhgADeQ2giBsM7qaqs9+jDekJ8C78fljQ3bdrA5yeBm2YEa4oOiZAdvBFkO9PjSZMO2trNTVZI1e
QXdTfgq+mxJHhvBNurpfH+YwHFjYsT7z6cjb7uoFhPlYOUKetvEtWzxdr/04b8lPwHlL4uhwrqG3
zT/vSkPHGJsyDnW6zwV9O+YYQdWmAF+bbhX03aRTNXoN4Q35SQhvSBwZwh8i6Bejo4dDFBHQE1sg
i9LnPiK7FfcQN0M3GSgQ2VrGb1JqP867Q0yAelfoyNC+W4er7ABeF9QUQLUeg4TzKwW6o3tNTQzn
IZ+YsS0ne7pe+9Hekp8A9ZbEkeF8u7pX0EEmrw4RSokTi0PbCROaPT2+dvbukScZ/4HTseNrC+u3
6bYf7z1jTMB8j9TR4Z6/c9Zw0uIQuDPoNEHGQ8+vFPzBiWcTEQQ13Fve9xjKTtfqNcR3xpiE+I7U
ESJ+UUf63fW3SBeHgN2CeJkwCKvEU0ANy3mDGBvLxcDCw0H3LSs+wv5G1V7Hft9AEyfAPtEjnAUO
dINbqYfDJDLhCAY0cMQCjlA+vrYjb8yBdjERxG6bpMrT0n+LYq9PgT0/cOIM2CN5hBNgFq2DQ2wA
cF4DQ1YTzmxsrXwAHTMqYFY8W4Rd7Cfr9Drsm0NMRHxT6NjArlZ5pNNVfYjInEPxL4KeNOy1ym9g
YNBYOMq3ipCgaeobtHoF790xpgC+K3VsiIMpnUOLsftI38sfq+yf6NzL4dAdQhyO3/zk0zaNOzmB
WgZohkH3bOw/NZpCEL0C+Msf9nOYKZjvFTw+2KGtjbNS31YHqSg1R3DHesJXonbIeTJbQNwOrZsf
Xz+m3lNPUDDub1Pv1TmwZ5hpc2CP4FHOAVfVw8/l8VTb+08sfygp5sDKoB8VDdsWfmzcDUlv6Jmx
G9LBo5+q1a9w3xhjMugbUseJOLRBgSd8iFolOPMB57peq1XCJ2MTFEiibTHvT6vdnarWLzHfGGQ6
6Btix4Z6uDpIDzOgZqH7K7jp9LUjIeQEfHgkIMjf2t4na/QK1pvyU2DelDg2hKO1OsiShlaEDFFo
j/DEt+4mTdEJvAmGXuyvOp2s1ys4b8pPwXlT4thwlunqRZHWP2etxxI1SI2Pfb0fXztMHFhr0waQ
dwjYyRq9gvCm/BSENyWODuFcHiKNBu2rTGozqF96rW/7IxfDTDhGsrVXQxHiNI1eQ3hDfhLCGxLH
hvDYNfYQBS5wIoQSAteoPIdcOx43dOYfV/lOCdPtZI1eQXhTfgrCmxJHhvBdDbchZQfpyg/n+ASw
4YDhK/s0Ao+LYCzIVp34W3Taj/LOCBNw3pE5MqQ/gQWuD+J4QXNQcKsoeq098FgzbkOxGkNbXOkb
VNqP8/YAE2DeFjkylL/K9BDJD7hhg0PzIqgX3kp+QLYb3uAYWpNtmuKpiuwHdkN6Aqobn/9/AOmv
Vdz4weNdZ3/+eLZ72K633lIHKUpoyM6A7Ny/LY9sJwbXCzoo7GM7X96s96pP/3S53+49da/dyvf0
E3/9UA5zC93rN9T9vOpvtqpW3uMlgS8uqfv1u4+TGu423BJ9bkewB8SfRfjLhz9+g5J9CiEqWMWf
9w+OA200MwAYnq64+zEzNgXXwKL88RtcOQjNEEYYGTPhbB4bT3W0659vwflL6AgKB7kgtTFegZRD
e+kQLjKE0qaxqAkO8xFMgRiHt7SsH9+Ce1ag3xWkxsZ7DIEyZT/vcbyRaR/I/OeDef7zu7zObmSU
VxoGpmAAiqfPjfpacPyAwlkyBt+ETKhl5qBfcb/6MLbGgufwP3kgmiZthLxGKA1Oi8BfhIEhHEXb
85o3vdvWRF90NZELiga6sLv6Jo/NwaV59k2ZRM60oU/TPrQ8m8L1hUHLqBObYenWoTk4sdGSWVgJ
w+ElG2ZG22U3ZWB/Dq1BuY2i1O3QcC58eqEs81RI25pZRrgo++KzLwLpDqW4HFRfeVwmzSlcXHkW
ZHHpJKZ1NogocwKTXzJifgysonaqSLy3W57MchW9r5BawTLMXWEFn5rMKpw2CgM373jjJs1wyXL+
ufMT7WJKv9ip/My65txO8EXL0zvDyi4r0RauasOPufKRY+DsNPfbcz6YH/I8nuPA+Eqizg3KYF6h
krtaFRcFl1/gxrMrGmaxE1rdoums3IFJsapSoZ28S0PH4JUXsSF0cJemM6o65vR+2XtC5LXXNE3v
+HF2rdqOOHlAT2VIIqdr66s2bWonGFq8sJJqHrPyQ5c0sWslOHcNMtxQn92TqrhL6n7eCpw5NMhv
OpPN+zBbRiSrHJ/rG1bzj2HpB15h9l9YpCMnaq1iBltR4qZ5JOc06vUsJ3xRqeG96nI+x2F61uF0
HQ5Z6YiKfGShwq5Kie8yaV/HDSdXqc9POxHclldmuGR17KBWnLM+jl3wW+YRb6RjlpEXVUPsVbRq
FqoWX0LGAqcuc+KkMlrgLM+dJJP3CWdyFld97JASz1PBZz0KvL7qT6O+iZ0si78pRddQ071uJQpO
g9K8Cliw7JoycHrUZF7cp+YnaiVohnpBHO5HcE9BeZZZbJla+NKqw7kSQTLHaaS8vuuISwLWL0Rd
SO7kVl15bWO8j4r2wR6SVrkWimIXqXIxlKZ2eFWemUZJ3NIsTm0mQ0cSP3ZywcUM4uVTYgT5Qqpu
ldjmXYTkrNGZhyrkBjB1YR7ZnyVtqBuWVXNbmrj0IjvovITXPUyEkLt4qLFXpUXsUCv9YDfBjBGf
OjQKl7nNLvxGYydLVDxLgxjWBU9rT8QFntNSEgcOB6O5kdLURdFQn/ckf+8b4T0NWvN95WcfhDKR
0zGqloWG3xJWbesaQ+1pU6ZOgIZrKWGlxFnXOTQsbnxuXYQZQrMCxabDYniAOfurqvCZlu8j0ywc
pcSNEJm/7Ji86vy0dZqqPbOJfDB1WjhlH68yMys8nuhkZnRGMisGmB+tVRKYElYwCwdjQXs3Hv4i
AX1o1EUcL7VsvUiWvVv6MA2azF/1w9A4pC8v/SHBTk6N264wT3McGk5fhp+MIFknNSwZkkuY24U1
13a5zIyscGxK6KxJ07sy97/bjWzdoIN5R1O+MOHqWM/shtIxiqFymqDMLwzSWZc4z+6MKCuvuqY3
YM7z2OP24M+6oTHc2velGygknbBtLhuVCEfzPHZSO7oNFcxmywzwUqVx6Jk+IN75GXGSfngv/YI5
eKDY0VkzuEVvfKClqmcIvskJh9J3jIa1bp4k/rzpq3gmy8o8DQGvxgzPkh7Gqmn5PjPpeSr1LfLR
nW9FcoZJc+ZDxaRHh6GLHC2Viq+LDqsviW3p1mM6Z7Gr6/i8rpt4cKuGZmQetX4+K+NIfxV2EJoX
Ly+c3TA097LoVRSEz3cG//zjf+5kBv8+3kD7378crxz+758WazlmcPX2h0af4Oen/nuL7WiDf15p
u2XZn+4tfsXs//LN132Cl5bdgtKiv3EHft53/OSVPdrXR6kfvgCG6rWxDxqCWxws6BINA/70BSAF
Pp4mg5oXMZp1MMPPvoAJZCoezwOj0R2ECyLAgv/wBcY+PDAglE4ISKvAVahv8QXwaOo3XAEbquKh
lSIDXpdC7wiINF66AtVAZVHWdXeVt9T2mtYPC0fSmCduwtvmPTOs/izumjzxEEqqr5U0m4+JqbvS
0XZefn7x9PZ4JmNzzm1toI4POnuCrwMXhY7RzUttzLwvEjusmytS5vgqSIbcd2ouWeh2TSVtp2nN
+itvCiNyVCaq0i1jlQSOP2huunC4K3+wqwpdwxhhPSNpij8OliHwomeWv8a9gbv5rzUmQH3uaAzX
XUJDQ9vi0CUabWkc8RCw7asr2lkBbNvdkH5sgCen84r30nKavsPxLOK+cAbO+sjpE0QXWaN6PFON
rB7CTmvsRkZhzTRc2N04VRaixuHKSgIvkHF4k9T2WabtUM+AuLU/6bA8T9LW6rxIG+wyUmGTLX79
q3ZhgGNuCBolw9UjUGT3+KNf+Ie8N4LWKFJ9lVe+/UkGAsPGnRCYGkVedzdtp+zbwsfpl19/7TjX
Xs5FaFEBdxlxCtc4QxcqQke1XnythbrALHSQX+ViwFc4CeurXCs3En746dfftO0Aj99kQ7k4hz6T
0BpDbM2zIjf7oVShvBIFMldlK1W68CvRw6ZdhB4q6xScXXAkpBtTq83+btKMk2Lzh8JEgc7EJlxX
Dc3Ft78ecizgluZZdMXLxFplcW2tknTUwRoy7TElJTg1AP2iTcuWOGUi+bpKbb1s7d68GE05cmkb
y8SNeZ59pKoAexeKvl8XRlPMkDFk3LVsaapTi7Khdn799Ma+9tv683HbgGAEbusFhmITKMRqK7cs
37jEtZ+tIlXpwMFGUuWmQ/s+D87aMEq+BcIuLsDShnMmzS5yCW7494oPg3T7MOCuKeNmHSnKHxqr
CPnZr5U0rR2QqQl2Hk6LjHduwOqEyO7ldGJKREiFFb2MzbLwbTGr7HBYdFVH7XnV1LWruhK9b7Le
qp0wBC9M4XyhiSoWqVkQN0nL7EORWlnn8LQNPrdxJpe9riqnsMriI9OJmPngYLi1jGPwqSsat+DH
6/yqLQx9XRoD9YIA2+D/DX6euaQJs1OLVekHEgc3QZ/TzklrXl5VfnlXkcygM9YQeJBRT2BvMOth
GF3q+CINLfHVR7V5FjKBL4aga2y3RaGZwQ33fbQ0hOozp+3FMMOtZcyGuLsvdFnd1sjgodNmFZ/7
uqyXpk/IXRniNln43MCRM4SJ/w2qNVTjRHlp/FVnPJsVhSbLRObFEpd2+hA1BYN1T7PkNrL9jjtN
aQZnyle128NzWGCIMK/LNus8s1XlHOMON14Kl5YFbtMGonQbEvpepqma1YV9HfpGgGYYy+oUTA0B
1wfFbHS30i9dhsJzouzi1qKVtajt2CBzzbJhJZhUnkZdPMybRARzo+vQiui0/a4DcPzcgVSohtCJ
NMG8q2IJi6NtvT5oajFX0g9naUUhlIOPOtACTUl40FnDnVjHseFyv+UOl1Y3OGaV+i6tjDxbKJZ4
gVn36H1LsTmLtEKpE8NMqua0am296CjvLlgyDKn/vm7LKsucPkr7XD2EfkjI8FW3Rsez0LEVbOXy
noAvV1EFF+bVdYGuqqTKku7Mjsph0dh15S8zFUXghpNU3iJu0GXcU1q7NWDgg7+L7A7gyoSY5b4P
9rBKk7b0WNIGCOKyCvvXYYkYl6dJz9tw1nepXV0wXVGYUa0vsW7dGmzhnBlh7F83sHRY4JaiEDDh
aKKzeQ6Bke2kJRgv3+uaiLmGD2yWBQEKyk24A8/PMje069aftylPM0/74BXMrTzIBlcMFuyYOUnM
2s1CZaROo/tA3+jIyDJPBpH4btQNjyA6k6RaRKaoxZVl+IF/llNecSuGIF2XQ3+qocukCr0iCHnm
+boZyrmtdB7N+5Rl/SnSOitci/Rp5PLO6tOFisrIcAFW8tkosgHP4Ehoks3gf8i4TmNkaHjkef45
zjI7W1JlV6mXhBX7MNQVpfPYkASfh20I/rzDQxJWC181RX4LxpiexcFAknldgAaerNJg8ATuBtsV
cV+0l5noYWobsFTUzMe4PlPUstJZ4NOgnvG8ATgjrsE/yYeYDus0gfTrTIAC2Yz2WVguMYrM0yDi
CXNJkpR0FsnInw21n1iO0arCvon9NjZdGpXx4GRFPBjnyE/NOS78wAJ1bV54uA8HuQwj3AYehJ9h
64yfc7Ad2TlMn4CWbtdGxuBUXWT8paAZPcQ3EawjcoWHPBoiRzSmQe/6tCX1FSvsXs5yu6wgZs7B
JAWaJyBgZxSelh+FOP864DQPz8o+S7u5bq0hOsdVUN2ZMbFWFoQ+viMwTN55DcQL9TQbIlC+xnE2
S2kJ7ItofS/CUfk1bVvwLOIgbm61xdpvhQrpacPbwPdEYiFgQ4AlonMrlXE3z1WDr4auoOZ7XVn4
DlcGfKJlhhZuhXveeQ3J4uhUdYS0y5wHmlxHBrc/5agcJ2ccl3rBUx3qm643K+GisgVswjYHxaSG
TfccLJj9iQoEszuDXVLNoK9WJ5eVtn1yE6s6ST4QkdvmsjPjtr6sump0PsO+u7ESg3WebDP4ainH
wLUD+mVYoISPP35UvYX9CfQqMnxlWjn8irq04FGFiUwG104aWDpFGiTR+1xxWPKqBq8ggPdgTyVV
Hl6X2OxV7tAiRAB3q7r6MjPCQjsRqstu3sF17NTrm5KMmwYsJhd+EWwgnY1HP7nKs08+3Fx1Jpoo
Eo4IrQTmRR+wVZtTUKNTcf+BVh3S5wG4ufG5LPIkvhVgLRY6R/iqtIPyKxzBYxC3mmFEzqQI7Prc
D2XQzHrFyxYc3J4uCgKP1UW87O+TNLFuulojeVqivkk+tywL9GnmG9n3frDHPSQq03AGcYCgXkT6
UM8LltmfDeRn86wtgtLhJmxzPVByHyJZ6XM7S2KgC4kiAWx7cLue04TE/qRiowm8lOSwTAbDp/bS
zCUu1xlsyP0ZXIMLa6Mdd2wvtgx4ol0zNB4YmbY8x6omzPXttGrA0tIGgetdxn8pu7HvjB7c9LPB
rhR+qHTeayfDmDfLqCUwVJfhcHDNdiSiCoAFWJXEZvNBNk112fU8vY0bDfQZ16dm1jXW6dAyACdB
WA+LIk2kvMxZZ14YFTKlF5Z51pwHfVuEQF/qLLwDT0Q/IDuHbQS2Tt04Sahb7dhtI0qwAn15mwYl
jr5gOVDROAN4YP3HoqKGDYNpX3khN5LgzPCL9lsYIKNxU65ZsoxshN932vAHoORKDRTdUMMkjUgV
05suSQfrKmNFmjpl0SB2aeLQ7NwevBvttWEBqLUijwJHDTyDvUPr1MMd7RQQLkSoxSBKmP2J2QVA
4vk90q5faFZ+bq0e38WhgrkGls7+BHM90ze5nWPYYElhx3ORhax1uvorETWwmU6SNPyjRfKynbVW
UJmXpp+K5kPpaxsovABmtFdEFNCEwKHvLiJaJfKCqyKkN6RDKVv6nbThd3WdEVwmyijaWaZ92DPA
G6uryzT1QX9lJ8FchyIJZ22H0LIvTVj3PWM8ckyg5i4fvdLnfMbNk5P/RMa/5DJeUhtTOJLL6F5J
Lb9X2yTJxkD/x5mUfdkVCLRez648XfH9koB5zsmA1A86ZUytQIclYkEvW7jHB0PZ6E86BQ4HQZKE
jR1uKSYQtPw3swKN0xBcwDjexAYh5gs2BcraMDTNhEgQEiJwGIG/hU2hj+H+y8gOmrhBhg/CWGDP
4VKwsRbuZcwhC2tIrN7X1yildwkwdkRb55mp3ycdkLvtSOoFCFxybJ7GfR/PspH480cKsOpq30Fl
AVte39YzMNIfkDkMblhw7LRmxRw9YMhwlBCK2zBWzmXopUACL+1AEacI01s1UpJDLoWDZXdplEBX
ZnlcuO1IYRqd5c/A1Yq9tCGGo6q2vELAeXLolHLJmyG/iAmpHMlI6QS+DjwysqXaDsA9AAKVhWHg
DCq/C3NBZ+nIsiKllyXQrr6oAk8nYMm5ma0h3vsEvrLhpMQ6lUDaGiN765f6chjN4mAF34ALi53S
qntXAembq2WML/BIBIcrRd3KDk6l9INZ29QQ+47MMe+TdJanXTIjgy68AgjmdpCF01XqoQbqGVdF
69gIfpBq/KUGero3eOH0uWcMFzUw150p/rKAyZYjpW33FprZwHKrQN1EI+1tNgJYrw5fJ0yNlHjt
YYEAEsq1UwWBXvKRQgcP+AMZSXUb2PUOWHadCzCAI/Ee4RDPyUjGa94ALc9U7RW+rLx0JO39pMWO
QuKCAJ/f15HpWCqcxSKHdI6GvMlI/pcUQnah+x7ofIilGBhQLxjTBUGFqOtDBiEwZOzIqFiUKD7T
Cb8z7WGFx8RD1idOhSovbkJ7JkmYQLimQqeAXEWLGuIyyF7AfSsa8CsXNs1iN/Fxjm4Ks8pvhQ+J
LKG0UyTyejDVfSRbuSSNcQMTfGXLSDoqDvKzMMFfVNlcKogBZoYwgdRq6RqyVOuG9/1cVx0w/1r4
p+CWf8tgiToSVHGTiCXAO9e3Fgn0eSbQWRPHX4vBPh9KPLiWDBeyNS7Kvi8cjSBxVAU+dmTit47S
+qqKB1g+zV0Y+N/KkIvTnEIgFBvZrT/QEJys+nNJ+TIpq+BUWPIMLm1OHdmzbC50vmSB9VGFKDxr
qpw5STzcwpjtRdlYDfhFUnpVwJT76AM3CoIZbI/gdZCaQMxnM+ybn7WMIWk51LWjdZ6faVJ3bmdw
7oR9VDqpTit36LT8EiA/OM3DUN3EzLKdlpazLu/xXNTZJ0GG2AmqENyOGBIBREYAUJF7fhpDFiZK
IljtFVnqaMwrxSycKVIv0SDQshThkmM/XTDQxSkZ7R3YFitHgOnUcTU4ssxPzao8jQ02iyUkNOK4
isGPNDCsNLNywUXunN4M+cwO9KwyMQQ58B+Gad3Ege1I3XzEXXxuqfpM0v7KNtVtwyHpOOhsERp+
4uSZPzh5gq+arv4YSUhtQt73JjPr90nQfhJJd6mz4Yv2wRNLgKJ1Mhl/AhrjzOzQaa/1XSUYcso6
Rw6Skjp22l0kuvQ4UnKe9ZAgJaq79BV9n+R96nUt9jgpzkhd506v6++m5f8VBfgauKIroLZuypiX
rmj0N9+3OqdOhi9pqClklYTwwI//S2cc7Dvk1JyKFHcyNM87o5Bek8KsAS6zTz7ROrZOI5PlkNce
EyihhCh8TKkcxND//zPhYzHB6yZ8q+3Cri0fxX/Ycqh5MTnUm463AQlbmMCtv7DlY48XqDUHuw1m
Fri7H8bcghv8QAaatEEkBvkUkPqRGjFPgOMfW0VgZAvgrcVbjPkOsw+pFbjU0x7baWMMzYU2Tbki
1NLgTQTXQRrAoj2PzPBveFRoQARj/NddENCKW0AxJpx3FmO659ExeekuZFgiu0j7DlIdfJmHtT2H
4DVWc551l+BTsxZohF4vBkiCe8woVOzgSli3kPOHCSsqm11yxYEXzgO/vKyVAXRbVlNWXjJmIGDk
dN0HM1RgPni6RZ4sWlScJiFwMsow0aLrgH1SMiBeC5VmCxWapQd52HhBWYGcvGE3wC8HiwK4lFkt
A7WIjCAlXqBkbCzyDGzwba6G8DswW82c4sgfYrBhyPDstDdJ7NpQAYE8XJgZ9oCuRPS2yosE9qey
K99XHWgB9Nd8MDDQHV34hRbAxHShcsB9gHoPO1nSplw0nF20NcOQhDeu6rD5ZCX0rrT1rUqGiyBv
PjEryx3BSukkkXlRKhOIu/IiDOMlDoJkCQFeNIP873mLU0egTEDSVy5Q1MGW5AMHKvszZaGvRRz3
bppyBhtVea0iFp/aeXhRd+hbyJL+PCwoUNY+1LeIFK/DVKaz3ra9XrLYqeyIQFkKzeZV11mLnPrD
OZSznDe+seiy5LQyouB/2Tuz5shtbFv/Ip4gCRIEHg+HHCWlpiqV9MKoQQLAAZwADvj1Z6Xddpft
233CEfflxm0/2VHOykwmCey91rc29m0Tjzn6lUy4vhgWddsuMSlKEqHekv3eufFYjupRxkOzr3Ss
c+HVx9F1ZSqm4KindSxG2T4BJjpLsi6pt/n0O7rqKdtGsWTozHcrmqp0DVQRRUakHtN5i3po7Yfb
JdIqDSqJywrlI2YMVIWo4qc42rqUrJE9YHeLU13yMG9LbBz+Zm4HirpR8PE41+u27xr/PaL2R9DG
bD9CjTsT3kLpk3WsHnrN2jxYIxVnQd2mKI+9E6+rYD8x/3vtyaOj3p0Jkk9GevtGlpB8t7Eoa5ZZ
Akm7ZQ+z1jtehXk1lsUUeFlLl/qwNOGeLSbMB4ILH+sE+uD8EjhsND04Apy2/ebofNv5hqRqXE9x
4987/KVzoKHOydRFwd72HrTi4N3z1mMXuRtSegeefF7Lt465U9I6tosrUYxJ/GlwQSrn9dtsa4iG
zJyjtr6B2HgvyirISFjTtKz5ayPC12uSIh+X4IZHWmRLdBnkYWsjmUlnSRqjK02k98zW6VNUz8Uq
6jWPpbiP5j5MfYUyr53V2XT1Ea5ik7o5+Nx78hlUxSfsVyjil10i+g/IDKeBeyfo3S6dKnoaKr5v
aGOvqkJOugCivo3MY7RUJ3y/c1z5b8R6VbqRRqW8G+UuJH1110ZrfVi9NnztFpZ8mVinRqg/W/mp
NWX9uAITSte1CYoIwn7qKSPzwavrvGqMyKTZbDqEnp8veCxu5j5WdzZy3pY2KLenzPb0+oRhjEeX
DtzMBRtK9s1RBtAjpp+9KaTFPNE76P0lap4eFmfEJ9zMpIY9apvzxjyRiTB+NL4/pmRYhlzMPbqY
oDrP3fbU9vWSVgsK/hn24A4i5xdKnyr88vlgPZcn66RPjDT0tuwlLrbrVVrT7lskqiqlwybxyMEx
ieJnX/Q1ruNW78Umbqo2cPBjy4fadN/syrOqrHJWoQEqPf+ppPiVSf822bpwXXWYK/ORjMuliV21
EyWqbLI0r2Fld5Imb1dR1bIJzVkwtClU2z6FYsTSKtlupjLOt01lVZMU1RD+aKlZ9/0Q55WeX2dS
7lGp9alT9m0y0a4f8TPXyy4sk5dAT58hw77EQdemfK2e1ma70Xw5mCHAA75UL0JukKPwiK7r7Vy2
e9GWGusnfTTGXeKJvq4yvuugIbNoflkA4AULquTEzTsI/Vgs/DHDr1FoWr+5QUFdqug+quI4XZtB
pYapo5hWWUii4YXG9Clw+NWmJqhToZPnYVYnQ6jJJuW/Yic4D2VX4/7R90o5c+gq8RJvQ5LCYjrE
LSmw3OSeXW+JxrdvZXLDbHKAg48OLn7l/ZyXMAd7Vl9IzA51G6HoLtu0DeuvHvPyeFHAAd2CerL8
6pv6hGudK7fqFO78CWbNw9T7+JjRdILufxhj+lb6/XHeGjg78xNq1Jyx2O0m1P5pq+S9H60fpb/A
43D6zY8qkoZO3fK42Q/w5FptXF7r7jCLeTgw3m43QUBytMk3dlRvtOzO/kiArIWd2enWR9sSRcs9
Rk7KlI2CFDUbv2hfwq/y2cXnS5cuehjOU5CIzMi13cWUflfopfPBF96Xpae4XyCuF5vflymJVPNj
NSrJQwJlLF+28BY2RfnxU332D0HqZxr0j17utQThiH1htDGJCWdw+/9Y5gR1HLStLr27qvpE6881
/xbF/wtO8L+9xbXS+snX33AX09riLfwB7W1ysf1lre7//de4Cit/rKSuXwNDIFEbEgpC5o/vEYZ2
axeuxMVfsMsnF2du1vXZ8/J//zZXZ/vPbwNVGQIUAWKa+H9CFMBjbCSpZ3GxrSuGSqIwxHM4fLLR
/TIHKZ3GdIt/dbL/b2uG/6+1Etc776eL/xfW+r8bUGI/vv65hfj1Zb+1ENexf9ejTxgMPhaRBLfe
7y0EouUJQKlf+4c/6IHISCGrivGvUXSFqa9S4W8tBEb143BwnFKIo7AwRTIM/04LAfH/D/cLSGuU
IHi24DDAgMSBtn9qItgqBm6ZtJdKmf7EGh7djno9M90MWWzHz7TFw1+Z+qC7pHHvspsG78GiPNgG
pzKYjc0Dl71OTb09GBGduqntdkMDhjdAU5AmdeDtVTNHadTLnahneYQVDey0h1wAs0DIjM+D3rVJ
39inTfSvXKLg86D5oZxegbj24RSd5tVzp7jXqyyzjW3qZJs630IUSsYbPwTXDoCSX+63oAMqEdT8
2Fgxf+45Y+cQAs8tIxokgHrqLQjSgrWbv+sDpvJ5RNWQzFznHXGQDRvUySHFvjMG/FwnoykGEWSx
Cc0uXvs7Fss5nUnHd3Pj1tQrDQxGqZfDuEx3wTTxzOjhdVzEzRYshfS3PJzCWz8S58UZtPwVgHAF
YyStGAPEPtlC4xeGnOkBmh2N+CiXjr5trprL3RAPMgUhAfNaTsGBj/ZR1uSJVb62x55KzzyoQA8H
MA6ZHiQ9DPE26SdqfD6m0pbJnJKkjPYkWFBLx2X8UZd2OUKAsnsLnjN3rb7fqumORv1JN/Ju8MMz
M96um5aT19K8czAeBmzWwDNj1f9YdPioDH/95Zn5/33xwJOFh/Zf6xDXZNKfV45fX/PTyhFDXbge
WAkBIoqxYfy0ckBFA5kZJdBZ8a//FB/Yf/EQxxcnECAQrcNO8M+Vg/0XCZD2QEPPIWjACPg7KwcS
An9ZORjAUMAKWKdCBhbvjxuaGZdKN2G1XnpTemnPTJ6U45UTklkVbiZ3ge6e1Rw0lxDsydNky/Hg
+YE9WFcGWWDXVPCuNOkQkTsC9wN4eQsbL6neCQrnzGCW6lkO8zcQHRDKtm4q6qFZ77kQfYaCIMm4
LbvnaILi69skhTOez0p2l1YMQ7rAzH4MRKL3FmPWCzGXQT4FwSfwF82haYjdVxxWcGyPZGPPYrDj
DpZ5CO6mV5dGrW0WUf7m+XQ58IV91i5Un4Zo6W5luOmdcdzCS9VrFuASXFTAStjbhh8GkOoXsYQU
kCRvD0ufcBDxhB96DelTiORLN8EJiPqqSRGQubHDtq+597rEQZCazma8A2kSy/4Emgr4vfCLUMwn
eIPoM9hnXM1bOA9wNkx3dUJsC+VTvsVz9HWlEBAhjL+IoX4ZY90UvRTAvYR6MoDegZZ7NCU6SDIq
xKF2KBg92r4TIZt01fRER0Q6jNM25XFV7YwXi50sF4gssXvFDw2thPZPnVfeRc32jTl1IOiU8E3I
j3Kb7r1Jzzc1YyN8G+dDPWB3BAZ66kp3F3f4SU2/5sO23Nct+RaS8cUt9XcYv2PaSWDkzXqhIHvT
pA9MGgh/QusQHq+HvWaNXad8EfwCTcBkYRsd6ERvurVlRZeQMo0D+doL94DA8bkagJN5K+ASkD88
xf2xZpQNNbuQza/IN0gQ8XZMzFQXiRRnD2JJC6huFDmkDwQPkvjdm+AGWBYBF9x21JVotXgV3/pz
A19AjWkSw8IK2+AGWz3w+hlLa+kHMhcxU/strtFbBmDvPRc+jjFU/JmNOotE/X0I+yjdpNoK1W62
6Cq+A7CM9q92uMhqKo/eBiZCIDuDTpAlmY87lYj+sdF6xZ0NpoPxqwnS+s9allNaRtEh6PSajjG4
voTTNg/LJXORDwZjK9+3LTwoj8XHOo6fR1O+hVqbLKlJBvT0Lpri5oiOk6btYoEUwI0GphddEoPt
d2WjyfpAQbAZo6cZIEBWmvjGVwgfcb3xzPfi09hYdQq27jxETXAcOoVfyfCsIV8mwF7eInaLS9Zd
tKi9GUZVZ7wd99NW96nYZM6G5pts4h3rejzqeEz6PllxYdu3Xk6nNVn6Y+0hvNKoILjIpSd5aT35
WKlBnHTEIH+w8m4evC6tOC3CDT56o2fc5zO0trJfHzYQZShS+hockGOpDcPy4CO7ULCpi/abKHnu
e8N07Ad9FtJPYNhbcpqocNAwULRE3QA9cuhBmPNx5+rt5PniS++1MO8rZKyw+tVHT0U8k3V/8sg1
wgEsiFb965BU4mPSbc4lHuOHpKreXeUMaCFOzPirRvuf/dMHlPyv98//bnql3/+6g15f9dsOCvke
J84RzF++Hovzi0b/+w76i0sf459f8wso9H+T77GDghQjOJoBK8ofU47YQUOKCTM4eANN6TUP8Vu0
4x997L9LOWJM5J93UBbizsYHZAE+Z3CNWv7cdooxWaqKsObiBcOrUAaAkm2+BVt8bBA8SyvqEOCz
RRK3qT8nO0fEDd+Gu4W1gLqWFlkiBSnHCi8bExvuROzv/I48LWoOC5ZgN5nFduObMqcepCkVmM+K
hX3WBM3NVcTNZm88NPX0taUrMm9B9KMM1ZThFofYFa/nlc0/ahvAzqpRyKKLKeg2x2mwaVf41mvy
sY3XHCwMVhWLDTGC3puZTm873W334RbHeSias11jkoKG+UJANueAlH50Pj0Beu/zYdVYDeapTlsB
TRLKJKgBfu948DKXTqBKVjXIZ29JmwR6cUUrlTkBgbJtRYkI3ZEIs9sSKNADMKE0XNbPTopbk+hz
X/Znie8ErxWrdhuGj4uq8xlxt6LW4W0ZhM/l1hjU8dhEUeJA85tmkNM1YqZRRA4tgR5Wsv6FxaOX
UR+rg8jieVDiyYRV/wY27/PmouVs2HTpiZn2TYDGvhrGt1UAwNL1vu0XmkY2RsxwwaJqSRmmsmS3
UoSfyQBT0Krl4tGIFnVtXR7GThSOg30TI/f2XmcfiSd/xE3Z7cEBomKq63NHv5r1KxDIXdTTr9NG
ur0d/X1jwUOM/dJ2n3kg9VPjN339roT7sazy0RF478kvQcJ6lIx9HYPqrsT9ffSN9g+rCbtLOJb8
ErXldNp4mUUcncmS0IMZkXXzpa8yGfHtjlQO2JHq2mUPgvpl0fB/VCtvydq9g6oKD34n+JCOlEn3
n3XuV3jo2nL/63Xu90NX/rrUXV/4+1KHpBbBIgJvEXLDzyoDxlAj/oPpZ8iTILSCZPbvK10EUolD
gaAYcIlC/pr8+k1lIJh9el3+cF4B6mPoDX9npePofH4SpWIMTI4oFk54oRQyHvmzhCdDDaDBkvB2
7IahT268xttQd2KuxATjjkdVfeE2JHUuaRmgQ16s2wXbFiTpZlR8YbidL7YbPHBJq3eMAafe2trb
8iWc9Lktefu0Eb1c7Br1N9fjH76D9l1OYbvUT1GwjGeY80CNzZq8Y4WLDl2Eej2oxhgF52C6N4mJ
CBw5R17DMEFNy5t9HQZL7hodf5tnGnx4RLnHcKIKFbrUXQpwoklhGaeup+AowgoBS79qMyWT+r5t
bfkcVlw+wtlp5JNfISmF9SEJBnd0vURNORJE59Y8gHkZ4g2tfyWJZmw4wG62hXXbV7gu88M4Bgwl
eDeGEYRnOvt3lPZV0cbArT95lcPGMMx1kmQrqNcxXUZQ22k8b8NbbS05RnNrCod5S3mC7mPsAZqa
fsgDHcvcn0cen2dwOF/LSlEsqRKAC8xuJGW8YaZbtilNCBSVqTpuMBAA7iBl7oJpTg7hHAd5l1Tf
TdXIU09L4m7jajBHNjA1P7qKBbsNTYhDohg3JkB0+K3a+1W1/U/l46MQ+NcrAow9838qfPCi31YD
iI44N/06nNi/jtOieOZ/L3wQ3LyifziLIMGDeJ1a/1ukE6cUxQFcwevkBfye9Kfl4Dqp5xelMI4J
TmsH0vA3Ch9MkvjTehBfY3QUAdHrzIgIEbM/Fj5zv06IZUhymdbIz9w6H5ctwo1ZEYK9Y9h1JLRo
JLeXJIQoN4noOx6YGwM6Jo+v5HW1QtcyozwbhO1T7etbr4Ixx1xv83Wa79aRTnnExy7rOvtt4/pV
KqT12+axjqq93swpJOHj0INSrAZ4hxwiIxS/8Ea3CDYIL/k01bzLGt4aMNHlJ7hrLzECHyDGHDrK
tb3EglyChRZ86E5JM6DHcuTo5nLMbB3C3pXrHuHQImT9B4TPR7uI+AQGYo/U8jemtpRP7vMKqTSt
QwSxYdzWKY1anZO+zPwVpVvSy89LYN9q5KzRYchDaDud9lOCYkaSMTUgxjLVk7u6HU5NHRE8/ePH
MMsgXb0OzFfDLqodwVaK4VLFc39aWwOQWYFbTFp4YLUcRcZ9Ud5NtPNzQHOOQotxHyyc67s5Sr47
hYvbl618CIFJp3Ia3yXExduqa44x94Axhf22l3pilwmKCVL/C341TNhIRwFXtm7BAADMkymgMrpX
M4pMOoIyj9ZEPPiCBHvXVyIdhGqAgRLE3xc4UKolovC3pjoQsjaFp1S4r+Q17ugQ3qMr4HqAWmD0
oegE64baJ5rULoIhhVaTNMXYmnBvOtIWmlQ3EEjPzlSXWgdHswmXq5Z9gAKh8D3bqPAmRfLNblUR
lAmkGCuawq8kw4UINiiyA9+bCsH8ah3tnodA3FsxIr+IcMgj6iO2t30sCwhx1cH3yzLH1BKSToR4
Dw2OjElbh286rJSmCrNOdkx4JquwvqdbJ/rCQ+QEDHmtTjGgv70I5fMWTvfW+rqQHtvSzvTfumZC
gEJSWIADj049R90ogmtM110vkQr12zLF1SeNfE06Sa4Pm0UmOVxFlzalDiCbgIuVvSvBmSe4xqNn
D2xBFSeXCBhvYtWPulUJVN6kLGbRegffVDsbN0VZanCCIO3TlmvY3sBHUmCVNvWqheVj3zYZnSv6
4IL1oVrtI13aupjCKlBZEzZ3SOiZA0IcH0a7byaY5c702Nwb3oy3CkB+Bnwob8aBHum2lDfUS+Y9
K3X0GHr2s+Kd8XLf2BWjX8IV6piy/fcFnypxXo1ICwS0iclh76ntOfCWYLdKQTN/5ifdws5fli1I
+WzhA0xb2iPTiUCaKJTW3glg0UER8mkGoJjBgXhuh+qUVPp+SabM85LbKX4rk/BsOzp/Adj7vlB4
dZHnpRqFc84Wu9xYpLEOnJsKVAd6FFH7NyHeTfbyPM/RBySnEDMzmlt/ges6g+ZwDNlTVUGJMFP7
Y0qwzSKvdoRd94C0/o2NFcKScia5blm3r1WAgM4s43zdujWdFXjOEf+7ntC/JROJd9uGnxBO/sV6
4qkBK+J39rWPsDwwHzZ1Uo9ntQRf15pSoM8EWcepE7vABnBBCAK70VjM1QQi2mEqSwMRdWLLi6UA
jxMvuudrwtKuTfSRxTH+T+NjzEPdzFlvurOt/ANyDjqbo3JXXWEkxc2WVsiyQXzjuVnH96mkNSoR
lSNqSF9hPLRxAa3qVofmexcBJbPxF8Qb4qNqg7Qa3TeEMhE97NYDvnSzkyHikoAf8oYmd7LCKsM7
DyTmkkEt7dK5Cw7eQA8bQIwqVAiwquXhqqc24QQWWTXfDOOHRJO7QPR7Lxr2ApFD/KYZEBL8d/xV
MqXABNiPSSX3yDCbAhzH0YCPKWzSZF5UPyAm5mEvsFC0AFeZ5qHlXh4o+dwg9y6pPiS20blt1XOj
TIaMzgg6aUrSdnOHEjFY1WTMn1aMIQhB5vjvpdXbtfDzNjBH4cRAdtdNJqh+9NU4Fr+UBP+pjXx4
8/+6NkKe2E5f/9oqXV/1U3EEPtMPMEwCOfZra/NzcYRMhI/+CcmIX7zV34ojHMmKfhh/hPREDH7z
erzLb73S1XJBKYWxAPhLkd7gf6c4Cq9TtP7QLKE48gO4PnB3r+OK2fXPf4IR1qUUyOqV0aV2fbKB
S+sgmc+SmPKCHBhpWxQ7Xnhg5fU+tfJpi0QEmijqMSEJSm5QUpUill8Xlpson+LWP/hLjXVrJahO
5u5rsDmRYcH56oZpzVuCuQ3jRM8NjBPMtqnuqwHhJ1Gaom+nKJ0ZAlhsc1gzOaoqCEIlMsr1nC5e
OxdyNA26NnO2uueg6tTLHNAHRfSeNu2YdWuuZ7dXA7St2W99IO7dgwOX3dHuiFk/caqaDtlSA76K
IxKG1dR95dX4QOngHyxWcgDZ4X3om+YWRFe3Q+pSQ+ZuOgSehw9Siq+2gv7UeklhtnfMpwLIFA/F
7BFo+q2+XcPopdcC6D4GZx0iiLLZSKBi1z0YGNJB7HGMgzma1zNxqirC0b1DWd7Zbj4HfNkHULBx
sNx+IuDBkMvG7gZrCuJKNs7k3eDRrhfw59wHmENuNB59FyOtbUUJDzYx2YzlgV3XiabpDy0WjrWr
nhssJMboh370zxILDGJeCAvG7cOMn9Re1yB/VaPeGy9gO0b7UxC33/QkEeNIyhvscTeI7sJVwP5O
gZWF40Owov55q0aAf8VEOqEfPGe2ft8GWHOEX/tf4CmDKaJz/T2MCTbLcUGezn7nk9wlIQcgyPDH
yi7vqHymrAKBBABwPZhN3kW6ZAWGpG27wciPxcNCV7Htlfr82bj1IZiDNzLCsercq5ornlFgyUUi
oh8qXE+LL7a3Rg51Cr4AfCrB7LMZcf7YRyYgHh+QazwkI/NuMGjgeVP4WgABAJwKdinXCYSBdGDs
49xKgw2lprwwdPMPLvkIqi5CStd8ng0imm0fhXmDyHAtYOzFnsIEAMxS6IMYMuU8Zl4nv4t6cPCT
NrdjwN9QiYl96E2vaukOHR6bTDO4KYhMo16YHKIXECcDxBHXJSoRQPHut9L7Mhr/RHsSYN+pPsWl
FAhchwmiNwg+YIIDAoaHJqnhspnupGNYEBJxcDuwOAWk+zFJc+nb6Os8oeBpELqot+oOUZRzTwAW
0I6fNbLrKTSUGZQY9nypZAp2edkPK3KJRmJOU8gxYL1mry7pCiC7R3Tsr6Qm/ZPzKNwvyTC1IYw/
JZ58WpGjAtb1ZZCROvaSH906nEvB+nPZTV8oaitMO3nyKD1Kwi4enx6kT9/7yN217XioO9ybjm4u
7wNtc4x+eJxn1CZIywqr9mMleVGvXKd4eujbNE9HCdjwsWSzxLSGZof6/0yvXtt/tjYoczD//63h
8euRvH/d2q6v+mlrw64G/x8HWvwjRvh730/+C4MecTQZuu4Q2x42xH/2/VGMY2xYxEAV8fgqK/62
tXFEGTDGFfLXb3vl3+j747/CRmj1cUQq3gvH5UFj+NPWphsIFg0+xmXmsp5ytPuYkegfqmtVblGe
BwYzHGPvOm4QxfR6reG7azUfoKw3ePiznpBgJ6rtmXndsLdVCxs9QPvYUQzYQ4MgfmkV3C9tA6Wd
9XKCZmJiUK4w3WLZ05GWNzLa6LFak5wOIcn6ZB5vMQnHpjE6sN2aBN9MOX34pTWHftF34y8NDe1w
Hys0ORuaneTa9QzX/kfU6IT8Bq75yCjq6GufJCxHso9jO2zxqdha7yphvUNw7a+qa6fF0HIFOlxt
Ps3g+42uZnjapUjFtUszBJH9+tq5lWEFK/bazZlrX5cETZD2eHunGp2OKCLwLvA2HKjJa1055Jws
t01SXqpOnlYdQrzHDDejQwx6JMOZCoADnZkx8qmsHrt4yoAgn2fPR79OSZVh4Nu2dxJTV0Y7FswO
MhuhxxY+8z71bnrCmJADov3sGA/uflzqLQca8kKG5Hs3dncD6GpIKPKEyMp9bMpnMcMoXxakrmv+
MfbwGiy/xYI4AYnyKMCJKEHGvPtSLc2JavW6VgZBAe59rILJzBq+Azb2Fmv+3usEkygQ6c8qbViK
uXHoABrSYxigkDdKYb+tYf/A3+7u2VZ9rv0E02ZazCiCfrsWHuNL0XYawftpeqEzZsvRNeswJbSo
hbKwppTEpjN87givd63fAC1mVOQY5/LcXXvZJsRkRDXDQ9EOuz9tPIzai+x9PzUw5uDhFaOz36Pe
fJll/aMVOtqVJPjRl3W1Q1rEnDSMn9LDxC0QyfOOrqTECFEYNjVu1731fYWcR9SOcOgAHfcROXqW
871gyEES1uFB6NjHVtE8qqdvpF8wsQUTYYqgwvBCS6ePRfcUn3ZrMzz7fYaxCM1OuSSlsuSYFcB5
Nig8IwibY+pJJx1GgQwZwcQZjOSZ92JGTgCbxoXM5SGM9b1c9YXW7Oh5amfDI/i/crnl+DunyDz1
aJUyuiXgOOhLwlsIK0ODMGG15WW17usgwNQK9T5p8yVppJ93Kwzvrup5MSWoszpuOCg4vevq/hZI
7H7y2k+TsMhHihvT9u0hCKcMgxbuw2Y+RHap02TBDjOu66VtQnfC6ItXOam7mII5pP6SHMF83IS8
vUN5sW88gughJmVkXV07zDg1wP5lwDJPBOpoK3UTWnUTtP1rE2BAHFsmmyK4+ClK4hc7TpewraM9
5l3wfIVkBQ4nQvWg0dtiGhSocWv2AiIdyl+ogN7WPi60fHElPt/QW4RX0Vg7g9cJzB1BnLLJ+6o+
lm58HzBNowjddfQkh0cmOqSmNzTIHJc1m418wSzNB7NcJTBlt2tjHuX1PNJDPfgf0GzPkVI3ChOg
AL23BLf1kPutenWUPJclfvex7BJM0ECmGYmWR0TGXgPMa00F0Q+hBxUucOyDcrs310zEgJklBaSs
h1HafanD51lO4Fs8AfqGnTCtDchL0j40g87XRHknuTSfVGw01Jj1RDcGkajZUoNSO6uGBhqQXuqi
idYud768RTDEA2yIwt8bmw/hyuehh7e7BSHiCAoxolVWP8YelFSHqKfPFpeDZg4zTSP/vAjPHQzr
d8kCqcoN7mEjZCm82aBi5+JpJaqwIdIxMHc5b+dd1I8n9HISuwDG6A5Du+3JQtGy0w6x73b70o7X
wK7/FZ2O2q+htJjtMt8BnPoUxvMNSii8NEQcaY52CBFDBGBn1Y+Haiqh/OImQjQd7VSMKNqWBN9d
0N/GAmv2ymGGY5bmEIzvplIYtDJ8dasoEoWnc9rghZPgtUO8CQGiOkVLhySRf0gMVlM41tHVKEVe
Bit3nyaqYXlc6wZxl+S5t+rWRfF7bbBQKkKvydBrpmhDOhTkf0CWMV0nfhm5Q/EaLZ8b3LcIfEXI
oC+jxCwrDDXm48MYz6gnE4cc2Sa+Yu8ci05JSHdy6wpY+fTCmMf2HgbW7sdp/KLq4CnWtsk6xz8F
iXmtaokRL9dickJzBv+9R0Z+DXYuZN9Iydb9CCoGn+/bWCHXpln3YyodLD30R7mWxN1hOEucl/1w
jz0P6S78GQaHnA2HDGZQj/8Pe2eyJLeRNttX+V8AbQjM2CYykfNQ87CBFYtFzPOMp78HJaPEKlGk
aX21aLO2blFgIpGBCP/cj6uFlK/stP2KUMTcySy/qkF2jiIbHAexXnig3lGQ21louIVcO7c7InKN
Br+sxVXWsIJBFz0FZJNwDoUZClDu5q2/4fQXrEzWSQk7WS9lN2M+BcQCo+fYLF45mzlwkNO155Gw
iUa+A6+7EXohnLIrzd0kmduiQTBlEYc9zNaI5Pw0OoYk6rM9aUt/TL/Fcpw7VtqfB9NDhZT8g6yi
3tlN8c2SgLfi7H7qc0mspDJlmpAZL3FAXqUgQSETDLmqrOzIag6z56h1wToINV3iWBJYjONjuzzl
SZIHxqIKZR/lOSw77BbCLoP/L2mo89TrHcL+F+hcsIH9Z4lomxZvVfiS/PzPfd9JA0VlZA3uXOi4
DN+3y9930sKg7RsUPqVhbHBmE9D3nbTK1FylSA6NiD/4cYKmQM9HzAFFiP12jgL8G5FIqH+fqOts
2rE06Qp7fcxIH0UiMyhx6UvlSAi3ALMsYkStY2EyPvomT1Omw1wDuIDrRw1lc9rkRhz3+OKGCPKu
ocXXnhL0Swt2+KYS4BEYrCiv2C5r3tAe9pD4Jvbi9DLGcQDgwlBcVSfOhUm3PuaG8S0orGgZpwo5
yozhS8Cwmd8c3OrGYDPWpUI/TG2dbqUsacqFiInOO4NRYwyO/OpUIKMhaduHyGjivW2E2RJT7OhW
OsthU5LOTFL2MaktqoXBHOWkdeOODOfByhtvn4ZJ7MaSjegORRlQlGIwPoJp4g62GSxVXkxOqQ4x
Mc93h1ESuqXV8vbSpKfEEOfCGLKdGbS3wmB/4qUaMLHQKIiRjtKpiozXPmNbV+amWOPF/TZF0bPZ
h3UKg0Ok295DgSm0aLxjzuQtQXQefQSXbRtEbw0sticFnMPVlDS52xlJuTTrBF/tmPNSJaVgs932
xMroZWmnFYN80AHkr8NAYZmoWuNQmeaVBUH7JhWYM4PxFuhqRmgr09aylV+ZBrRl28NQOrtAloAB
8u0Um2KhyT1jvzGWDiLAzmSOVaA/dQXUJ09W433jjYKtS/puupiqyqjOAd9dx9QxPI5wzkg3+8JD
/ov4NwGPsyVkCsvGcIGBTdJZEkflVlLaJIS7EU+7qsvsc9iNsGDyycr9BewG1TvbXk4YM2S/3wk7
Pijso4SfTjdaV4lh+Z8K8K4CzFUq/7x6wYRv3st6aMP8+wo2/9nvKxgeAF2lm5jpO6E/Aj4fZG5y
RfRe/jXo/8v8KGbLgM3aYiJI/ChzU4bNCkbRPUd49V/L3LOn4ZPMPWNt7dkIgNXgvYLiR5nbTs3J
nm1B56QLAXA6VZnLu2QQ2i5j3B45kZHejZHPhGqQDlYGPzbSU1Rn3pxBJqFzN9Ht4Df72BpuOnk4
jB7MniIwsH33Fu/1cIJd2dz36XgyU3Wrh9jfsdItytmvN7CTLVrDGTBRhhN8+JQpK8K7zdbXZm+j
qt9Uy2+c/j3/EsajA8hLWVUxsf/J0tw2iiz0V4ZUCKhPo8Feo060ccUcLF3KVXFLDp2tSyspdCH4
bHYm2Rn7hs1M2TlV5j0ktlg2Ci6bqq6Xeth/MUh0R16ZLlFVXoGIhE5nhI9GOdRs44ytOhBELxEP
oEE+Gr62tsxicrxedQOUyYVapxvF6PQlG9hNPXBmG/nRLZi5fxlz70vaDGd5XoNoaXgKZTt0Ui1e
x/GwZTicuWLgmF51DNYsv/jqy5x6BpE9Fqx/nLGZSaKFvBmeMp3qeHwJC93bMz4AR6uzijB2XUmZ
JbBHmdVSA2bqhMRSILcM9rrv473Qyw6ce1dheIQN4ALVxaRusun2zNxNRlV2EtimKyuAKu/bE05J
JauPo2wNvGO6Cot4WCw9LGNOg21lUdVxgC0A4Oooh94qk+twT6NBsuac39ywrZ/u4UkFy1wGUhjX
iXyEtoN7to/jp7yC/MIw1Xjs6jS9ritRXgJDCbeWqIZDaXtQ+cck3812KjbLmhYdPI7XM0NzIFM7
JcpiSmXvy2DhrAf6JpXbTJGvODHCj8ClfieP3Pi1x0vpWYps/5tm0YSQzhmvnpA6gVvLGVMFNnlE
EqybM2F1BZ2SkFiDzjoQGisJj9WEyHgZ245Utqdqzpd5c9IMSxhImTl9Zs45NI1AmjYn08pUhrM8
Z9U4KgJfRT+ac2zZnGgz5mzbpMX4tea8mzkn3/L3EJwS3ph/pOLIx+VzUg77Q3dvg3DdGszZFsGc
qIPRgAuZkN0wp+0gfC6HOX/332L+h6RLaOufF/Pv1XJ/X8h1/tz3hRwXO64sYbIfxUL+2cVOkljQ
waVojFvmUeZfCzlbURVqi/Iu6X5MkBrQ50x2jXOxufLv5pXGHGv7YSGfS3M1GgJUcNsMLNmL8qL5
cSEXnV6lUp6m50kPoHixG+nAyg8xj10WsQ3SDY2VLTlqECVdXlkbGRNCWDTnoJW2BIuWdq9cZQA1
WlXs+rp4iVvtyasTJ86gVE7i4NvaZgqYOsVSPjqB6T/VY3LVcYRbkU59wfJqOFpAqNJL2sKZsGHv
05FfagKOEhBVkz3karBv29w6QBK9WEHMOTVnZDeZOOft+AsdAq7qCZSv/FyQplkUdvTYi85Y5BkH
Zb0E1d/GqIyiD8+tkX81ckhnOtKeMwWmgTYYi60+4lBrzK3qpbfqOLyN2nSsNftL4tW36Gy0xyT+
msjW3sAqtsg746zn5i7BlbKwA/1OJQk+5c1zHxhuPQ/IKsG7pretCz42ZrP5OerjU9RHbiEJkN6g
BvjNo/iISnogWYO0O2FM0qNDUJFMnYoR+kncbDM9KdkeTwIIhJ26LErPQJ8v2HEPWmvlp6K8IjPg
pnG4QuE4E31wW3VA5sZ/MlPD1Uq8qII1PZEe8Xs8INO4vNt48XW9vlGT9Es4tneFJKvLdOIdBqzr
NOKZxWLSXsmDh+M/NtL7UsPlU1sNwAaMSYjG3cmXLdfr0aSpwOmdse1uAnxY/PfQDY06WTZldt/y
1/BKzDtxKEHB6/O1HsrcG0s4uTzuy47vIYokcxHJVgKkzJIX46heh1a+73vvq1bi8AsN41bLjWuJ
c54jNcbBTgkMtLoJCqVAvETxupZ0b6tHjXbQc5bkoYxucSK9WnIIxjS9SpF1o6y6921e+Jwaifrw
oTYUDPSOLVGcgNzlO6hYrqo1A0hlz6E8KHaLsF1OxABBLq5lrdvECv40+glG5Lf2jb1WsdQMNgSy
WTzmebqyRTEnM7jbc4DaQSbsqWcSNa/3irCxxU5/GkgSGMIujtNYgYPhJFe0bEXkCJk1BKoWDhC4
05aJRFKBf8iHBL0T359VP4aGeeBUeZ11OWzq0E4dSUzTGgIjsQuv6l0b5PsC7+VzkZU3VscXr/c+
8/TpJLfeV6+TYFd3+rVdWBgavU2vMu0Qnrc159CEzkMP5Mhyh8lKCNWh8yh+TGCtZ9RMLKKj0md8
8dWpdnQ0Eyfhji5Ib++aDqNXzJBnNJm3Jml4hqKwDiclXY3xNagYEZAV7/zpBXzsS9MZt/Dlb+NE
LNvBusSKgkjnT5rTK6Au1FC6h9ZCHh2USTA1bjB2xi4Mgf8SLdT52jto19L4wvc67jAgrPKCXB52
LXWpSNqbMtTHRJaOpDmzVWgBaJTH6SUn7jgWje4wZwK9Z4YMeHosWWNF3Byc8E1q9rlT1o1Ye4pv
O9hF+Pt0jP37lieQ//2bkgxk5glzLGJtngEl0nXZym91yiOhGWm4y03zrqjKU53waleE9lYU8tmU
ereOBmMhKYk2JzIU1xBMFeSpOngCPhZRuGXKHd+XGR8aMb5jdJI9aWmCHEZCdQnZ3Ha6rtLA4vkb
TzMGZt3jS2mE+dpmadRizscQeZwg0I7sR851gs0P97m1HEOyRFHaA47KL2Utr6NKuy0m1spc3Aif
sikOf7CwcvOFTC428GCn8OGWfSgbzPfbO8mYhIO7vAQDSk6y0nmo49p76ozpqWrK66DWaMpKpE0R
CXZJLHBgUNqbgqKwZcWOpVUlIGIqrq/eBBrjp9UXLA4sFQVWOUj91bT2yyBdKFp9O3r9faw0D1U5
0z/j9gH4pMw0oRdLWVaC/VRH3TKEKk21A+f73If0kQh1W9XRTWaoWFHbHLVWPPUx3C07iYB628DC
7Bh7boENpVLuO+Oqr3eT99iHey1Qr7KIGYJu3EcMMULYWobgNG9k+UkpcnJUiag3dAe8CRb6lRjs
C8x6ftqa5G0orUkWJtzxVWIyggo1bZnb/aEukuuOCYE5JCy/REWnUdxkOjnoHKky9NsH4pnkccpm
VzYnTPqLRm/DhW/CbRrVcJnkdrhWyooIcRU+4PNZJ0kVHTKJ5X+SqqM9mpIL0SimImCIADLjt64L
i2/LA5pc+DvdtiSnfk/viPckz0hqA8Nu/kavXXDsM44whc+KbT5Ecwiogv7CBLOcxpN4DwnVfM/m
OBkb36JRLvRwAIl65xGYPgu1os9vQuH36kbbdmZwSt7TSK02MnicG8/QlfDudEbk2jTYpdSiKQXq
AzVpBnVpMcRdXOHwlKRKU+9Ds2CFmPvVtFraBBSuaVo9Iy7lN9K+b94Ix3WEXjoGw2aUpWVKaZsS
y3x0/o61KvJlPCSvQxhnTH6DtSIT4mgg41PTYDwCv+nIPjTRqkdPLkWdI4VMLrwxLCmmsfe52cUX
vCBC865jiuYkAsunsDLPajF4Ttimgn4O+Y7bz1ucorpiiHY4KEy3KIcr7FbrCDD1Erd95maDHINI
k4tlSOgRU2f/mOGhxKs408+WRqLfpXZ5GcFwLIwpJrVruFWYXLq5UK/OBxe67K2Za68srpfG7jMn
CXgEQqO8FlLlssCJda9xnrEFhTlzdR+mz01mNApyfXpmXDAycA5aOt/icVUNkHxZ92dbF4WAOOlX
6VwRWBhUs4W58jLVCozNvl+bIfQqjvcnInSPFU2Dg5mYTp5KK0E+Vu+tJ14tbteThC67Pb/cjanM
rE3aC5kn478Jk2MveNXSbxh6DaDa/AEl/rGfCxBBqT3UynDM52rEPrQlmKqC4jR6EznCZI6Qku2E
yUerjoPvu0WvMAylajGYOxcNybhri+44DcFCzsIvCc2MZUxkp1bHQzdY7Wac6xuzwTimwsocI2Uh
pOFRRiVYlnQ+xrly6OmAbFECyEJCpTIm4yHq05RKQ3la+nN5JAUIyrKbCyU7Rv6EthUyjClSJy59
YsZTtakZMi8rOfpi9uxhLFoqzaJW1za9SmvfrutDWtJOWdJqmUSz4ZaAQJyA5LPTPmLP6TX8uPQE
98Kt0Ug7IzTTtRHkW5vdVrFIChUb+9QhoC7+O479oa0RNPnn49jyLfm/EwrE29/PY3Nq7vt5TFH/
hwbDqQIa5h9K/l/+USqvOctjLf2eD/5+Hpv70mRgoPJ7X7JMpO5Pk40m6DuXydyT01ER5f4d0efj
aQwiCFliJsKEADkPapr86TTWeG1UJ1OmXDK81HIcHkw/dtRuXP1wZy5/AKV+hHIp7zbUH0BTuszB
cVYQKYqFzkVdzsdjHyU5MdGCuL/oOh45ZqyWttKndpeGQOtztn78PkwM001+tsf2UMbFnalUVEjU
DeF5gJyrmDnDvkP1hxNo0xdF1m8h6bxevL565CDICMAKsFHOmZigTm4KLugoRXLJZQZ+ZOeA+5dK
ubSoVnBU4hzkLdgIARGxSQM5mainpa0bG1WNM9czOlfR9GbZki7mTDJg8tMe2FMfba21WRrVx0BL
cqcb9BtKm66ldDhJkn5q5vOG3OMxp2JtS+nCqfdSH0lH3GGkIwTod91SmW16bddc6dLk9lr7YFvV
G4v9s5+OUOdw4cStiQd0DC965e0NeglcUuYbAzF/XQcV31BV3eWGvwktja1xEOzJYH3J+iB2O2Yh
qDikkZN8KIDTzcEOSiJZ9adnyGizmBadNQudbMS6IkFKKGHltaa4q2qf9TNtF+z4rs2yXSPubiiD
kJjAUqjTayp7BzqxHAYQN9JYJE7alJZj2s92QzsoAUVMQGhVrRazz5GXFiZovr9oHZvtN2skcS0b
+lHqWkyIGeGlEiuvMMeT0tPqMeId7nETuay7F0o0IpdR/npKtaPv43VqhLa2O+5t0DNjkgy9Wxal
/YwivCHmdY1dB3/RVN+HBhBun0KFhdokN3XfboUed8tKlV9ldrQLvx/vkzDUqTuazgokE0IwESfE
qfoqEuWrAqDTiQexyRN7C2aftzJvLsZFVyntWIOZGwdTnXgDJNnrFBWPgcmUKjXyW5yy0VIrTRCf
rbom2sSm3nMJcVDtwCPGIVHrA3Z1QfmCyuFDiLCkZnR0Y+BMJA9x2C1GpaJMROsxUuAScolyzi/3
atgliQ5WesQq49HJqalfe9nehrpwuynnoAcio7uPdXXOlfQCn4AezgZYsKnLOFK2Kh2jgohWMxfQ
WuULfu9rEUtvMIRi/CX1Vc7TSJKoQx6vG2ew+2XeI1BIqU4mqu8OVoV9WkLw1tn7kAvpwpmW1T8Z
kVkDAi2Ofih7Tl0MeMznLpX6gI9l2TX1pu+bR6rCqA9la9xFMpUz+TE2+MmqWXzBdbpPJGk7JUTA
sGYFK06rhPW68KvRE0xFvFDxs4nroDHWQ968xTjBnaElV2MUj321gvW/DbSKlhtpMxrmywAsdNLH
2DETmk3G5DkBRtLXJJzaXcHUKZFwImeVo0BSIcCmNRSWqqseialTVBczGo7mqejWqhk1rswYEtaA
9pxpoHaGvF96UlWhKRTrVmTnMe+foAazxRm1+6aRrWMhUaZ1O6vVvgV1dJNDfUl+t4xi1vwonhHP
FLN2R9E2mQS0uA/iWV3XquaNxnjpR8dcaGtvN9zkxy07PekleyhWEIYdb+Ht2S21S7DH218v43PQ
8uMizuVtk/cOgUeddM/Hy1ce52HJaKdLZ74U3taWGyCez6h5f+woKPvw3/KfvC5+dh0F6LUpoDYh
F36iEtoN76yQTpuLCA/0SS6S5M32twDQfnOdj28/1iBuJ/eTd6CQUUzn8dWPWmRJ+7HechK5GPq+
MuAy0IerPfz6nmk/+85+/DCfLtISF68ViA2Xzq3vKRBYdRv5q7WcGxqOKc/Y4hoQ8iJ1lc3dCYDN
4tQdQ/e+Xnmrq2jXLzbMWg7Nkn9wmbv8Z3X/67+fMt/Mz1/qzPIzAWaSVnnHjvwQIEno5cP2L4sL
U+WTdyWv5KN48HcK9T9OuxwXuyexHpxT6fYbXXfSPUGIK1Q4F8qG8/5X+S+FpLDb+eeN5PEt+5q/
htlPAG/zH/xzI6n8z2KvaFmKhrb/Lpx/95gooBloj+Hbw0pCPyFf8V9ubfQKKKI2EFG2kbPm/92t
bf3P1HFQM7UV6P3/xqltzM/wh2cI/A3ZbOrBDZ2ouGAe8eMPyQSrbKWKL505Z6EohbyrtOnN67FG
xXpiMIWSXR0lqhoxO8IqL6prmzHAlWLO0RvaCjPz2veZJbGzGtVlW4vqwbNCc3yl7pZjbAA1V1FG
bQ01IF/UioWUU5P+RTHX1thYcblVvUUXZkhrWiHZrObKI2h2+dUvk9QplaFw88BMENjou4R/C3Et
559VzVIjqahUzwWiEgok5rop6PRdn5m7KGIG2VMzrgeErutWWrdK+yUdqALpcHLM9m2mBgp8aGk8
jn6Og9vUV7xYupOV8R5OZ4ugLVvquhpJiYxZQVw9HiCxWbwBRxv4l69MC8WritWk9kulGepLVCOq
EjlPnjpLH2+EeAgJLGMbi0+wrIIlI5or4FAwuxRxhFLGEJYpQx8Wr3XYu4bFHofWR2ytnd6vTGuY
1g1+lF2GLwPNNRy28QjCvtZLsMewsfuFNci4BgtrxngX0pmK+xGBwyZGktNdE2q7EtlzEXc5TnIr
MtdZTdhx6ORzXgTBxo7RZqFL84eojgxdxhIZ1eJqljCfBnG9qTzIHZNiZvZqGFAfa8ucX8NBgOPY
ZlR6QzF9saZDpYBdR+HxNqu6bp3WebjzDMk6hlpPKLLB/BbjgcMKJ2ZPnGiDp2R2yQXY5XzAQose
58yK2tSnWNDe42Guk20KHjEjHhIP0Y+Gw3MyO/ECLHnBpENg95szhPPRSWffnlZZIMcyzPRSZ2yr
2d2nzD6/LhpvSJTyNWED1GYvoF1Zjhj0FvDP2Cv2nDTu+Qs0SovTs0K/0I6dXkg7wLqOyNVE5chT
s5mosFZCqgNv5CiUKOL2TZpDVdpUEfCgnSklQqcpdZz3Ws6GK8/XedXTJmhN7VoN2M105rKRB+GM
0lDv+mF29na+cHXNs04xmAMptb8SUDoYUXqVt+2dJ6nHujAVNGepOI1En7ekTuHk5xOKIvShtNGT
WznyaCe03hpw62FiUgthHsYgt1cmfb0lwwcjn6istM6o2wcd4BrlS3tez4c0sHyUK907ZlZRLwl+
05AY+IxlBn9bBsm2IqgQl3xJFmW4xXwmkgg1LJTYevFbWEeNEZ6HjoboIWO/LjVdin5aOsJItuwA
VlZVvaSVtehzEHdY2g1MDm2TuvS0uQVlfzIRZddX5Oui7pdBEW3NTtvbPadFMVuwG2y+/ZDcQYM5
E9e4MzqZjDycBuPs2bZB2/z0rSixP0/t1mytJUnJFRxz1ZEDuPMSVcRd9xIg9RpVt6pRrBeRbl3q
OLu2cuWrTW3rIk3mTN94rUlE09OyOAK5daVYcwq+Y1qQQ0eDT+hz5uomGQXGS1+ncbyFXIgTLo62
wA8uU45VHdMvDLi5320DbMFhIcVNqstXaTacxnJ0lGncZt5cU8T5dpLWTM42oD4d5utEQQZX0uU5
xRW+GhZmZqnYkAhw4gBIXZGfs0KmS0bO16JRGH+1/kXBax52/mZAtU9z6dB1I3Wk4UvZKpwmBocm
zG+KpjheJZYaR22vSd6q5C332uuhYXhmUYWDZh/22aNemssa3wCbrBVWJAollDN2RtpGDXzLwBf8
4Vob7NskmpSlnSQ10El5nWqVYxPlW8yZaYYHLjDyb2MZnljh3BHUGAV2S8MiVOjXwVYV42aYqkdZ
NLtJt24Mtv8wbq/9brxq0690rL+Vshw4uIEWpjqPAwuXgN0y9rWZqev4anBFf9Qx79RrxUu/Cakh
G05bBubDQpY3kt1trFpyZSrHIj0/UMZ5V/E3NT0AioZerDyp29dy6/JTPNW25Qq13qneyAXptCq4
YUNWL/OSmYOmKa99mz/yr9LcAXsIx1oS+PRULE36FMesf6mzmuSgtMfzt8U/vMpHIJRdFbsBfjvI
C14JM2gEWGiYa6XpHhjOPTcllbmFuTVNE04n8cK8qTYZrEZ5gAky6fZaRB1HIvkhr8jqSMyVtMEN
PXClwl75gBXMRufpNNc4qK6yPNkXHGI7qb1JQnNjDd4ZJM8209Id4NNjkAMVy9rQpW3ygiVwyw+M
uZx1FVX2QRXDU2HQFVLJraPY1p1XGVc1YYis1q/bgTI4S9Q3LSfQroBAQtQFJGhySHR/l1glVXGJ
f6zmhWrKH8e42SuVvi6oiKT2zImgItb9vOnJ9l6R3c0IIqHke0nRgrPkYaTxqSS+qWv6Gyel2VUy
Q/m+JxIR8+KJvuItuoua1NwqPdqQjS1d03mpa/Q+5MRnQvHVSDk9NuUjXLMtitWZ9TZcyVW8Fn29
p/iV3yVxTGeSxVOg14Vrq/FtSmZ5UQ4YoFRxiWIropW2WGQ5Zio4txuPnFmvSCmtk8hB1Lubfg99
bVSWccJ8Osgug4987w1krMavhQTIo45emgqHN+8/fgHQVqPOXLWtT4WElFFs11BqQu8w4IAleclN
J1lfu0536SQgfmO6IU04WT7PVZj1Lfxhcoc024+Nv68a/TbnmM7YA8gzXZ0NHE0p6KVdpmg86wm/
0wmrQL5NpOY4Sf1TXRWvrVWt/Aj7kJfQuaC1lZPKvP5+2NL+5Ej3t6MWO0RsJIYJ1FzYBOo/7hAb
cDNVG2bSWU43YRTTiHYtUTnx64v87SjzfhFDYErU2Noq87nyh6MM5cwoTJqQzoP1perXffs05N98
rAZETH99pZ9teHHS/Hml+W/yw5VyLx8FXGLprFinQJuRIWI1Tduc6V77HCJs/fpyP717/JpmZJsQ
2ME+Xk4h1mUx7/AvnfTctPvSf82S119f4mefiN0ym2UuA4Dt0yU8wxxkeyyCCwAhoo8w21dJEAKw
YbYOwrY5/fpyP/lEoDQ5tOAN1YBZfjoxdJlRK6PchJcw8xehWpKBp5fpN59ptrV/OpZ8uMgn23sN
J103PC4SId001QHI2h++4n9UKn73Meb//4fnoGumhqY9rlAVR2MGBeS3nhn+5iKzqvOrj/Hpqyni
WeJL6/AySOqCkbQdXrSQahPzSQ8dgxxaW//mij/7WEgvRH91/GBwvz5+rDi00jCDzHMxyyu6PBhO
b81/WdSBEYxiAjhGpI/nIYj16dZ5uioZZPujC6iCFfx4k0YWsmO/fsx+duuIWNhcSsAdf0cN/vD9
5H1gmmFIO0dVPGXGIeCkSKskrvibqN1rHcNW7+rXV5yfqc9f1o9X/PRlEb21q0KM0UUe4ErXD2BA
frMYiI/fzjy0YaKEI3t20M2Dm0+LT51rEL4GkV6iQ7Vttrw8j7mjr/Sr4Fp38KG4JBjdX3+qj5ec
XXvcwR/u46dLBtA4hqbooktnoEX7wFNtFoV88+ur/PzeMQ2TeXOiL356JPB/GGaTytHFK3HFiP2M
8P71Fea7//nb0cT8tNHWAc/l04Nd1EooxlqKLiZH39FS2G0+hxpzgSj6zWf52R378UqfFjhOxHlF
i0Z0EfpbYF3p3k05/WZ5+/klkILRZPklmZ8etVDEnaVNfnzJsrMOIH/Axau0xm9edT/7CfGw/XmV
T199XHUUZlE8dwnjV8w3niqtKs3VY5q/m4sUQ3b9zXf0t4+lUFRgYhOdWw8FQ8mPi49ie1g1zDy5
NN26rJ7B5pXT9a8fg789aJ8u8WkamXU+NzQok0s/MRqUcK1F+m9u288voVr8atjwoLN9/BTRMFAm
x0nrUiev0rTFp/ibC/ztUeYzYGFhXjoXOIBf/XgBlk6zF9mUXtjnpa3u0A8Y0tJFAv79Xv2nys5j
hX9WZVfJ/y3z6uXrT1TZ+Q9+V2WxW2PgoSJb1ZhnosH+kJsR/xMI69C/FfzYjP//VGXBQzHZ1/AD
KNo83P+oyjKW0FigqGQmW4eV4F8oszwOHxY8KCEW/x7efzIvQJMYz6enpPS9QZdER4G3lt/3c4Nv
R5WvhCEByaGuLtI09/wywnzUtaJx6Arj1GBikbVSUuu11GW7yYd5GU9MzuAOPMRUNS8riD5OwTrr
ThqHrzSccJ4gJzqN1uar0rM77I00E0dUFGMwJEszWAEZGvPOpsaYWV9GWQLV1CYVx7x8/E1F6THi
7YPXA6XpouKmygO6taTQ3giZ3a7GeFKV9zAQTzkCzUxMEgu5igDH6vh8CiqXE5oDxrmDmUzyPhqT
J69Rdo1R1PuAumaZGLrrlzjqkJ7kBWDILwb5nE0z9zxXA3lAOx/ejNx4wwkfLUEjwtsou6M9qI+Z
kme7ok1wIlMhrXTBVUB1xpa/5qudwTTQoeipnclJC6f3/QAoaMVACLoBKG4d7jakO9fPIcJ5gcRp
PX0jprgaZkZ3nhRrnERfeRtBB4j9DWEbC5KSznEVD9AyCiVj1UrDGfWARkhI4CFEcCr26OVTRA7a
0SJNXSCmUS+wTrp+qxrNczqjxcsZMo6P9zzN2HFLHu+tBBDjZahJjBTNMJGbZFBpHwKp+Da1gU7N
MK2sddRquPBwEpHBHtZpyJm4DCOb4oMRGSVW7mDa0fc8AtxS5kZKP1afJhklhUI/u71tjcQ/Qasq
dpOcVjZkynhT6Pmqj+RrQd0Jo1+LsveQCW0sh/dhrxfgGRFTVamJlqqPGFIYlH/grGaoKeUXH31y
YdTE1w351pRIbfURLektdpXEoCQv4xaTogIn8VDo4VdTTQ+exAEzE3OvS9WQb5TaFy2tR+KK6hPO
2GdMD3DpfXM92hrFm0G0UWT/pjTzejmAkpYUFUQDNZpjFkN2MGlqjw+GZx5FK+EhGSlwnLJvcpLD
NmhxQxr6COkw9iGlSNGrMKRHXYG4GAzXSdAcxk661aXguWGIiXXDXpSttC+H6iSr3t2QRfuxB0tT
esq9n0K7Cirv1hvMfRNxhwrF11y1wE0QW/aJM/yTZ/Z3hkzNY+LTsTLQNQERQP7CHOS6r6KTX1T0
LNo+jXHduRfatQrpGo0hxEMothSPOeB0dj6dMq3R7wtJR1Fp7mcTiZ/pUFz1cxBOG7VKEQuoA4/r
8RGh21pHvpTSRgu/jGUOBn8pYQ8cQU16Q0f0LKweqzrdqXZ3jFVli9/4vs3AohJfVWe/2paYRMiG
bgbESsk1FNUvhZraGzNOANIYFkJXpK7gIloo9zT3EPBL3dyGjqZhP4yKNNpmZuEMNf3jCoCKecVl
lRIgWbTuksPDXijUhLktiqAvj/jCwYXJ3ALWpCt1NI5Ra7/qBgy3wjTuFEM70lILLaWFGEQslfDX
vMRVsE46X75R7MxNzID9bUGOtwbZS+w72aRgXUTStAi6jeEYPG/t5N8IWftipli3fcU60lfmrX1f
klxcVdfCBLxb+qjXo2J+UUIzXtH/w9jAKFajKjEgClFlWEndGLIkRTgcSkoah8NK3GZhl9GxYIav
RSCdjLzrVvRs/T/2zmS5caPrtq9yXwAONIluSgLsRFJiSaVugpBUEvq+x9P/K8vXtlxuKjz/Ijxx
lERSBJB58py91yaUIH4YowGeQ7QjtvZjQZjgd/iyaRyqIHRrJhZxayqw9dolf8hhE4enRQ9R/lpD
6VPmXZlOc+fKQPFGRosvS/mMXN31KzEYpLItj8FAMpA9tK9oCOv10jecNbNzRGa5QXb5RIa5JsPM
EfMfskUHSiMyv+/MC9nlp95V6JjKKPSETHSHbHRVYYbWyLh0cwxU9BX9nUGSehxg3iRZPRkY56WW
I3Gly6Mr09fr+T43x0s1JjfcD3wJU/81J68du5C66iT8d1CJabIJdZ/c7rYw0BJb7UEl9V2o09eC
iUwgzBuLVPiKLFs8ijzVMjCezBrEMiZZwEggdeCqBMsXqt6tWGMRoVe7guz5RobQ26TRh7jNWYkI
qDdlVD3YF0LrGTIsi6PulXTcF4kMto8lEUSG3YN1jWlwJ0T1GFXhp2oDVhGSMf05xFs6LZT/VWW/
ii6pUP65KtvAgv27QbnKb/1ekpG7YlH4oJKEsslZ4lNJpv5COhr2N3ob/ISMMPjNAWf/wv8D5QSe
IBtSslr7bVBuEq8IusE2bZ2m8H+EMWC2+7Ekc3Wm5BZ0B410T9OQB65PPYk0B1IwdYF9hlh4CLt6
KE7dqM/WOsmHqpJ8gX4hJRq6Qh7l4XRfukwxEPwXEoiSRE+T0d7mUT17UVtgZun6LSZQD3UUejG1
0HFuMnEv3eQViByOrIIW96y0tVcs5hnrIECmTCE3Of8CvvyBaYWWXjr44bfY+3fMz8hUCeQUqYUE
GStMFguHhNqh9hnYh0/4WqKbIIhi6ybKADuZhYMETkC1NFZWz1DDwxygFneWrRibgHVq9NtJC7rr
Wmmj+L5nIx78LB0fUt2NgLWn5S6OiCpnC25OYyIOY29+MUOE7IFd3KtLdtcLQEllVL3pmAqQAjCC
h20DsCJhPTNeoyKhpa0IKD36gzVN931EaLdBQajgFFJyloAwZoIuqkrznBnyQVugtwYQJjFKDuq9
9FkPzdvUGeHJVABBlfgbk+i7vBfvqkhiv835Ukynu9gG7BncRDVeJrBFOrOf59kI2ScJ8lUXlHO1
FEDmmXNXZ5q+KQvMAoXRKXjj9F1EJE2BtcbLx3hvRLiPzDyygUTbRGGraeHr8JFYOOaDUemXQO/z
9WJE+HKFvitT5H+6k2Igmyd9Pw8yYb5Xv6kwExzQGWslMAMC4FrsWe5LGJVXlmtftQYMrdiBRE24
2i30mYHRUstcSvlmussmUyeID9U5bGB2w6L3qgYnBinBuIyD6qMrGdRbMS6bXsnfxsglVmxm4uea
jM9cYh0sWfpze12EVkunXnnuzEShbgxuMhdxa1iiF400LGcKSiJ21JU6NVCgzKFdc78Rpl0+9omO
Ey3sDh1XsGv7DTweyEsmYwpLrUt/KcQ+H+brqTYftLY7u118hzIhXcdqe5+H0ZcI0JtXqf1WCy1l
z6INKyRqvsx2cAdM+7LUPY+IhiOchE2sk3E8e1oT3PTBspvRzuOUV96aWiHhQlQpiWxsUovmZuux
xxUfmi3OeVUwNpmXQ1nZ18lczpvSwdNX9QVD3gGpRS3GIzFs30gDPcQ9xsKmjU9WUmGoV+0r8jO1
rcroE3Icw20eAE9oyQv+jXEzu92124jHQYkY5nJnrZI5t9ZRb3wQ+ras0qr80i8knpEqvfDNrGx7
WlaiAAjWpcNXne7FThHcnYEs6dosfs9mfWFztB/N0bzVUZbuhzJFC9zoe46Jhoe86BgNwPgtgXRX
zYXYjHVyHYcWqU/plzzDaMm8CCku7sExAWKYuzd6WNQbK+M8MVYjeuEGb1pdWHejJt2IjfoR6OJZ
NbI3+DP7ejTY50PMc4Giv+O1uW8T213neX6fj52OyIPg1hnrW2zlT+UsmLWXszlIkGorDraYrIuR
OJUNsZfZ7RzVr8ZI3KpuEoOiYPnrzfpkMSPzl5TT1bC8Nob+VDuusXNVeKyVa98s/VB4TscMWTTA
9C0ositmqm/BHLR71e5uo6KDts08jDl2Oa96O01Ya41nTCu3Xd6RtRo56Ubrg9FreoS9SVUV6yJW
zwOpSD5a2/dhmV0Pq9UpSfTBGwCq7cDWYJ1TBG7hvkYLpHJig5n/huA5X2stIVFqMJrneDJj+sL1
hBBdB0Cj119GhiGH2bE7X1sG5pTFxHWKAZEZsxebsPLmJKpOmAb3cx48IwqYvFwRua/bYM8mg7u1
apI3yy44hQXJ4ptFsAmFMe+soqn3ZSU2KTYeL7KtbOM4HPxYD5ctdrTnxjE3RaPAOw+2JSX7JVJi
QHZl7K7mligZhN3uZlKIsOGQE1ysQge2VhPfFxpHoBPhpssTZ8s5OfRGJkvrYJjnA3yfb5Do8B1W
nXHQ8Z2szWqBZjCFxS4qiuXrMuZcm3FWNqb09yoU96tQh1ZjdsPeyIEhMwSDvWsOV2HmHgJ3uVLi
JfccjfNNkC6XJg8g9dm3jmJbx6XlpBf1uI+o/2+qProrEEywIWrZpjKow/pIaRgud29WDRIkR5+w
nRxsBbMGs8PR8T9rWXTTxbgggkX10jIemEkvVzC0j0FmeHCAbwY4Er6R1KpMTUT7YDdn10zenCJ/
zdqAhoTtckzFGu5lhB2WhjP7kBUQAy94hlV1vCeP66VMlZusiW/TECYksj3LTxoNdJeo3jMQxWGu
ik1nCADbseAlSWvwxkx9qhhsYhqKz4HblxtDUwdvrBtUAEF6VTgAu5MpCe+R3HjxGDxZHKZWOo+u
neUfTd49MWghLK07V9816l3+FjBZ8DWXObGbZ/cY3XFgxCjQdUW5IFRRPSWDHQe3gwCT9CqDObIW
7KmmMrCAadr75LQ7uw+ODjBBxHzzAbK069UppiuzeMjn5gxOFN7inOerJhFrLuihbrUrM8u/KZXz
MU4cHy06KEVNP7lN3rFkbNq+7LatXfltxb8CRLtXE/W4hFc5qeRND2itTV/cPnmNWhZfOKTkANh7
AkrkXYMSqbWaw9KOnNxSLk/OST2h9TMt3M9xoHMs1sW7gXd9hTnlNk5CfpgFHPjUMW4gpQqiyNao
L+MtldszFdg+nkimptLBSWChOynzdU/Yq1Xj33bHBzQgV1M1lQyQkquUrtXWyLs3EboPIebTdZXX
Z7iiN7KI0Qw2PLcIt2aEU3V2jDN6/6/NCPuvaolKU6r6poJvRUA13hZseL3CcMJOTA2vRr4l5YBz
qZ74ljbiRDUqZwWMJETewaNDZhKLRUNLYqj505wCxro0fjtZDGbFkNVDs7eN6DDOyUekmfEmHJ3r
WUu25bJtSbDSHdSJhadNR0dJ76JswIgjRL7GnLRNkgHnMiZiwq5fDQd54Ri+OlZ8FDoiAQQZERer
filLHQ2XPgLwq9ShueLxuQtn2mqc3+61CgqlhUqxBRJLQGm208mDQbHhBY5RXQqrkRZpkFqjD9hO
Ux6ioSxVEqqKtjngxBiRucXj4AybMhuU+TJzdQqMd4onwEetwgV1o4ft9oCuiE+RKjxtSrNd3JAD
falsFDuBdJ9ijI5Bd4k87b1gKB9JXFj8wmEAOMyh5hNM/NVoilu8ktMGjf1HnTQPGK/NVU7hpQRx
t3FNdx/Z4oVU8ZspdpEe2mDdo7jL19Rd0HFTATBnHLSVQmOE7QTCRKqysaFWsbh+8tpRm/fuDLUm
OtYNYYNZJTwUVeehw8Xe20cJP1oVyEM0dwb4J47aMlPdlNUrewspQOAz08L52sbIMjvs4NAIi+2S
oMWaB2cnhv6mxoRJkQfKnKPEirpm9Kyg+NaM+Y6Bh7ImDGfZ1K11FHX2RU8HRFsYJs28HHesu0d3
xLwym2x2ZMzs+oEnOtF5QxNWZCrQRLXwGpt2wUhYJdtKp9p1tfQ5rZG6RddphejTnJHdAVBqSJ5x
neFM1G9Ni7K7zs3kG3lGCNm1eT3O8bkM1bNJNCFBrGeBbIxWnbLUXtMo4WFQy4d0DPddFD91dve1
cksmt0QFO812suxbvCpr6l7UcfpzXBF33iqsjHm4X2Z72QN9fOYDfo3k0d6mFvSjrgL7kyvPIi/R
VC3Y+ss6uZqgt4JVTkowO8tpHEDB1pb2WA0qbpL0Mo7FS1o5DbqejjvBfcqQh8VG9JCP9ED/d6D/
fqCXk69/PtDf4PZ9aTm8/0BllL/124FeV39REbAbwmb+6xIM+OlAr/0iAIPhr0RJAuyG8csfynfB
PxGNYUuwGWDyPw70BL26TMzAlsnTPNHL/2XGwkDvxwO9RM7qdKlch9rB+HFgKYBiFegBtWszG7t0
Fw+DDjesTk9wbNZiaS+kEjwExFXQpMy2hFM/KHHUEsxFHHUZbl2ZjB2n09emq0iHKomzwPDrArjt
gxCz8cQhpfWWfsfp6qkMw0NA1rYTXmsQo05l3DpEKFCN2hqFTNpaIxvv8i0TDOjn3oSREDhPtggy
36HFTuhV97SUZI3rRF4Y5nATj53hg4MgtYMByzJQ2+uGcRIqnW2ybe4LpZ9XcHHf4wp29KJ/c5Qq
Zh1L4X3r023uTHSnJ/FENffQLMJaTTzDCWQPRK/0rK15viIe54ulzVLomy+rKUg8hv/8INx0M2Dc
MCztWzOQz6WzQhLQE6+CgHiGPGrAp5XGm5o+mvNN1FryoAwubGx2lpTyBHbXeBzFZwE2DSnkCpKs
0XmVMY+AGozOfdFiEQyA2JucwnNgZZyKdEfFIhETVBkdTCxflSp4RmgTYVROtgHJhYtKHxptbcUN
trxw7C4s5hATl6y5DKWRbDGL17SS4RrrEsTeNoK8s5pwsryA/5DX1mO5NDC8+nT0RSOwaksefCeH
LJMLuSVwA3Nr2eN84d6kBUxEkpeMwzoi5+TgZlToAWSMU0BIpDe6fXuI0P1tp4Y+biGItPFqHQep
EhkkMqT9h+6WzpbOQ7+uU6Z5TCBeh47Lh4lE8hHIGNNqXHgxa+SOztg7mUigTepx9IuKW7VxxR42
HTBPM8luHCOkT90ysyMyMwYyA01SZISspUNrbp2ofs8nzd1CpID12SjZDdRg3EJOtoBtYr10Sg76
+hyru0BFWNGqVGoFGMiVoXVp42k2aOy8UYrXakb5Vba0YluzjegfKM3VaJfjVTj2zdaN5JRJmieq
zgKDg3F+FbTmRyxsgfA+QsUrjC1HRIW2wpIb28StqBOJLXiFdU0MMEF0q1Hy8+GAgBeiv+0H+CPZ
0YLC8hLgxa88c+GhSXR1Ny7Qo/wIga/qT4YzbVwwVckHHKV552iafimZJlEr2S10zEVtroyKDhTE
90zRSI6REPhC4uBLuPCzQj6KugT4PNyx9NsIuMHQPilh/ZBJrHzgAJiPmK76g4TOJyr4eRsOvQaP
PpFgesLJyfSQsPqZ2QuNKxrRS3+B/Qk2x8pioI8Q7t3eeqdce+7VYDNKBv4EDH9MoOKb4PENJTlk
InucIKxuDUnQJ19HLiLuia9i3wPdLHlOlZ77osudO8q9mxocfyW5/AWAfroeb7DCHoZMIXi0mW66
pXH2aPJ3JXD/Fuxz/Z323+UwSggAwCdB0m8QQ9Sm2Q16fxKMkAsY3e26caIvoYri1ZaZAn1GuoCp
LuywEnZB8ABN9ENKEIFjjCdlYjw9y4yCSaYVFNxsK0S/SKsLN35NnKJ4ttIu2YXGAJhC9FhEZdAd
6ZYmg5WyXQnCb9yWKiRX+8K3jPqmHJVbi2n0NpHheWFBjN4kA/VSGa1ny5C9Gc7TpppYk4JyDC85
hvlVy+Ny6eXDs8iovka+aSfj+5IgdrdqW8VfspBwP7K5BjBKBP61MvpPMeEYVjIOcJHBgMjtiQiU
YYGTjA0MGH15cBmE78pQQasxP1oZM5iKZT+TO6iSP5iTQ4iaJ/eNUdW3hgwpNGRcYSqDCyPbJMJQ
hhlyYCl3OnNsuhPkIsnIw0CGH+oGMYgOw41dJKMRdRmSmMm4RCuSPSgZoajWAYiPgr/UlAGLkYxa
7GXoInNT8mNkEGMtIxmLPGPyYY/9/0qdX7OZYTH8S6lzem/e3r/9tdSRv/W51DHRjHxKk//d5Kf9
oqMxERw0vtdB1DN/zC5+RPT9PruwfoG6YNhUT4YAhAX5+T/ISShqfix1KKcQrTBDcVEhk3D259mF
oei4a+o0vWbu2TUH2rHMHeMhF8qDU6Y2yRnfD3R9ndQXzYaxouf7hd132u/VgCxVOkmRNDVxMsQn
hHCDsyJ8jOZKnaCYPwZhMq2srkjloE5f521wDVQ68cyEaNVKN4m0Ym5BN/x6UmAeUeS9ENNHa6JJ
ryp1uSksrPZ20NzTs9oiO1ggmRHyro7f0J58wd/LCxhLtQsnc8Psnu2wdS9dmHwMhCaDlMoZK0Pz
9ivqOIAN+Q2bDL1Wde4kFeDaKYMLLArZ2kD+EFrkr0yNsxusil0/HXeBpT8JaLG0L6B3DskCIL+s
Bx95arKrjDzz3cZ26K8Flp/X0WOf1h1dRBrPIQBtzlSqtoFrn616hQV8NVpdtIuoMKDgVEyTV7pN
IMOUKdkO+CkLmEjMbatp2ZVaF+EXu7OnB2to2FVt6iwiDMzr2CEsgTQL7Qxp9FBPQr8hkJoZU8vx
1KrtbtvESbuJypzh+JDz1nriPARu3e1g6C7eHMkSaNCw4E0pae+J1hQX+K7GlVM1NOlzd0aa0ZKb
Gh+ErVja3k3xKm50xgbDbKfaq1Ybwutx7dt1kpwixrZ9AA68g9sdFag5RLhsVMLMROJC7oJXNwER
TN+zsn+o2/RYqmro0frcZh3xCrZpnki7P7WKzo2Ux54JAmuKUOfozZOupMdkjGH26jAVaWP7tIDf
BN0V2BpndhKS36LOTm9oqca6bxiDkZxzM0qWk2aqpEtQraVVQmieGAJ8ktG+z+kuTQE+lsnSHT9f
wrdlQsgXsPbSaZYiBYlSNN2CEVhjvjFva2T6Q0r/oms9I5r8XuskRfUraQSTN3eFifNqSNbzjBmU
KvcMAp2+pmqWOyWEhKI6ZL7F/GTC60aYd2zkCWv6CDCUTDddA/cBNBXFg6dO6tk2RxUuCg3luUqZ
gavdlYVvfo2vT/fjrCXOK9efrUkjAnUub0d7whYzg+wOCpInaxZ7N3ZM4uiEu2pt+z0Pwm/IWsiW
wMaLAqWDopTc9GaBVnbAXqn2NqfuOfdLDR8hFhh343Drq5oIvUJtutALTEb04MFLWIRxYpfpoWi7
8u5/R+XvR2WVUfA/H5W32XtR/HX7kL/0+/ah/QJBTsjAbvIovw+xf98+9F8gvgr+037NKPhj+0DC
qHKJf5cjImX9bfTtAhtCZs5i74JIQAT8X7YPzfqzKBY1ojAZA1i8JoW4kC/3p9F3Mbe2PvWOS3QO
FDE6nEsFPVsGEBoKqDHsUiz5z8h7mgv0beIKc5lcCLQKU6t7bAqegCpPX1M0OdgEQdJ34WYWAhFG
ZWSTDGvExkYF6feDe2Gi+4HnEnhl49A51okvYS1syfgx661K0qtD4utUKTslzl7NBuunnZTHMBkv
qQyJtThcMhrd2SrxK0yGWZbGNUHDCjf2vMWJf9YZFsS6SrdahtD26rybtYGaVdFeE3Jqp3ow941j
P1bCZhMc32gdnoiPzEyZlWw9uQ3LoAy+ZaN6b2ZHGsboagMFp3FITO6CjgimSbHWB22H7/1qkJG6
owzXTQ2lIW8Tu7RKkpffQzj32nJ5YLh+cmRE75i0HOxkbK/O9DwShGIbfbhpZLSv1oS2n5D265D6
i5xz8GpBELBGInBOMjCwcgZk5TX5MjzJeWBuchkjTGz6foyhWLoxhmwNPIynjmJYlTKAuJLYb8bE
+Rp/OvyX+ZKb6b4Noe0R8vdtzgeHpQ3GZ1MG6BBBqhghUE29H3GjaR+drhw0ItzGbj4mKGnosDPD
GL6HJo/9eERJn4AoZ5A9Wd1xIWM5V4rxket51ZnPS26d8MOshywjmzc5qFZwO7aENZM6lrQeFBXC
UBS96On4xikhKdWviSmcR4lPmULT3metI2iOEq8SOw5MHbJN3RO7bXSw03LY6rQJyYNK8KgLaVeP
OMPdBsQUu+ts1ibUgiWT88EEUFA1psi8DCfkViPHAYlr0ehHO8t6CiTL2SkL6Zr/Ww6/L4eykfbP
y+HtS9G9/L/VS/P60rz8dVmUv/zbsohIGyuTQKNNR1C1VbwYvy+L6i8Wsh6U2IT2sXD+0UA0zF80
xEB0Fy3X+f86ot+WRUPGvVh0HwyqawTc/6mq/suiSB9S4jvoIhqswQaf7rMeyIgIJO8gEZwjzPXt
eZqePn0tN7+6Wz7D14T2lwYlhbCA2GNgHURxZPNHfn6HPiCLLTCn/twvpq/r1cdciXNGrJ/ZdB8d
Lu+Gp87LBUdvTSn2uu3umjoh2poZAnBESATMBQq72Smtepf00Ua01TclI/tPl1nkDULxLh1XS5Rd
E+9qpkdj6GrjOgTjMOJKGVASEZ1oRgRuQYOdF8ITVHM/Udp+jKZ6Mow8siiOYtsTiA2/1brk3jK+
9QUtOcAJRCElmZJ7bireelibm06zw7VIo1qm7n6XQV/bla34mdM8uk1o+EjT2ROEGG+SCcmPoZfd
RmvQ3MxNAUQufk51/WjqeNLdfD6OIZqerCh3RdEtXhPUd4GZbUn4PRF4QANgKZ4VdUQzLKaPPFWu
O7p4DOEWjhcgLcKqu7UThhdqtTeAkqWqsiuq/tBVKrasfr5MqXNIFpaJcKEB1qWH2rZfAm0Y0bDS
ySDet0/jl64FcgIKkg6GsyPV5VrBUEzp5UWB/gQw4sCEaJfX5lEU5P41+nDKKNCt3PCbqt5xIiFE
Qbj3SbyQRZZmN6S8pat2QTMWM0KuddnmSA5CEXddRkGoLxBAjEXckr4MFaOdiDJ34v2c1Uj5E6gN
QWJtCefDsS/5cML1Ryh5XAuZ1toNG5reB1z5a3AnDwJUCHvg2Wqtp7ZbrtNYfIly/PB9kG9tMZyi
sdmXdGXDKWHAB6Mkd8cdcvVjpGe3llbmqy7JHpj53WuB/WAF/aZsyCoGHqxMzTNCIzT6nbtVjPap
5I/X53zaKnS5U7DN+OdJtDM9I52OqEYdOpvAGsRc8KIOu6CAORFa9jNPwSaJk6cwkEV92yUbpe+5
beqPuUx2jpSTGdVz36hPiqLetrac39GqHiZ3rZrZ65IGl5SM+VU0h8c0kZ5x9F8rodh30UJmIrqD
dRiH4HZzGlAatbzCrgjX0zZPztQWUKUtULQVAzTTuk1c8dhXbYjYnEKfgGienmS8VbXkSumZ8Oo1
WfUmMvGVoplfJgfKSj/32RX6ZALiLOKl3axiYi+ItBhb6xySDuLHwIVVywk9tw4wQLsdw2D6ecRf
VlbP890MAZrCWSF8OImH+Dw1sXWsK0v1XL6KFeo2cqWVFLs8Z3EPzWyzynpF9bsFlmvRBXD2HNQF
uI1IILYk12OGgVs3V5goritRtXto5WKlGTQVNb1ud2g0E5/QzKOlhQxC06rYaou5DabFBfama6te
ZJVfdnXJ+TnOrm06qZAvlPYCZASuTEAE2zLfN4HxYqf1jvXtlDBDX7sanJk5U45BqhPtkqGGSy1z
Imm7zG9Ls4d1oyF3e+ihdYwDZRuNjmuBs4KVZY0iwcOj3ntlVVzZtc2CyChWs8dL0VMdVWhRWKMO
YR3s6FT6oKjX1dIdGRhsIzM6qZn6gCcO8bh6GBndbIspfRZJYNIxJAHGCawrrQPHETA+fq1GIl2W
ha7uStRjfpdq+bgZYmNr2EDVjQUNVuQsqb/EcXNanPRs6NUuBcqn1Va7zoDuwWMsgByYHkveXteC
3g8Nq9ln8/DVUqo7QrWIAKen6rXQRPx5RLDDmtMfRtUqYddJ7WGsfNQt4VVzj+OGtxNeg9DpGjQN
NNk5tYfdkETDFvzDvGXpjx6CmncgvumuyKFEw2hzD/3c0FBOwnOBXZikO8Ohh6xHK1Had2ZdItEQ
iWwH6OhMZxEE+APrOysgebcwFwkBRIPWl+3G7ENtZY/TpgO7vkUuUGzLuS7XGb8IPMfsH0EVA4Un
NAT9D/GI7EpRx2i74BKP1cZw8sab8/LJGqp9Aft/sme/byFFz/YhreevapT4A1XeCjzR1z7TiVOv
3atpnoZ9qSSNVwYZzqU+gWihqk8ktqGJm0T92FvIQ6uSvglJhukXMNvVCvfCoy5F5oFuThunV1yw
eurP2Kh/dmg5JLxRYcjQJZe0BJgCP8iB4QpxXgqT4tzJRte07E1rvIxNu/n3KkD/+/fhAIbK2eCx
/7EI6OyFRPmoOOdZdmot/Sur0o0D0IflsiHb1eUCzNluAJWVOemu1SOUgjqBacUVK9XRDFrOJukl
ggJj1apvEI7Zux346+C97C26RDwCYnHOlhpSrv1e1/1NAfO3nxx6mY0Z1ETa/cOp0cz7Mu7ctDiP
OYqPGWRRzqjs13zDf3Tyu0yRP1uDBX5gF+uxnOPyHXGj/7lIavsUH1HaD+cqZDirWGIPuF6QtVuz
b8DfkBiYR4UM4gsOb2921f3ojGJVzhULlYHUNMlhuDCo6SPDvS3YlfoS+YMKR1pgF1ubOkJl5r3n
mLT5KTD5znWeGyvHrDW75vLF1LKXFGGiloXxdhkJKGk1y4+yOPXTznhTGn1jMmdYsyoh+BAuVKSa
uRemIsxM5AbMkbWvF/2dEdnLhHSll/JvINunebEHpKOzslO1MTmpEV6tZeojlBgk3kYuFictDu+D
Xsvv6tFk/9BCUE8VyBGr6nbojkg6ZYvT6FnNCTaWStWvTRVE7bQwOtCM7BioLz05VxylWBefHAVm
vj1quzkRTxnsHQaNTL4qCywrJ9VFUHpMPGaeHYLRn5R8h08LrY02HfDyvKQkfL1Bp92qCPbwbUQn
vSQQ1GjrTWy0JHbp05fcsrKzyyhHs5bpqrbb07/fc1h0/+Z+4IEk5dx0VFAV8t8/yfTxOZcF/9ad
oVS+GG6be0s1ZGdLqdsV6+lz2DJch12w1iy0nDFOJlbUE98KI74otXd62J6gz6+YmZ/M0nk0RBFt
2tysN32vomo2AXOFMW1QxE2Or5aCTC42dQ+1MpDiRqEeYSFSiaJm5F3f0h2c1loEWX4Z+3bVVVJV
gyw3X96a0npxMQqvB41g3ybXv1r6TO08M+HvNI+pWL1uQFqtmtF6ZDS/HwP9G7wPOg8jy4CbIRSd
7gI3OdpErdalcYuggDuEWd2s35oDrq4kuq1j80tuu1tr7h4d1E44C0rVt+qeWpAed9szwHbkJNdI
SOgIEJwyiH5RuCfWlWs8aYbyqEVD7dUd1NUI6NOwENKiTCVa/GarqsmegDdfLwFMRYMn0k5dO854
ZdMlIVynZZuvUJF3d8ZYnV1n2rfl/MKI7K02mpfCtnxceKeU5MZ0SK/LaDrahbUZS4HsNcZTVdjQ
iuJLWinpfnYW3FSQzbLAyysKGlDKnEt4GAfFvYx19xHbSsBQVl2LPtl0HRpy4ig9HbmopllHCyg7
yBKuEnmFPg3s9Sgr1LSnzaAhw9fGh7IE/KXAb2ZsjRx/o6fKVc4uHo0hA2XgflW7oTlSuHuyHDSN
XTMLxg04br9o8opWSp0QS6FscWxeLbgZbZcQkVELASSpLLoLzttEYxyMoRMp2w7EE2Pz+ggTiqqX
ZOfrrBorFO72QYQY/bAWMHVgMM/cWluPKsPBillryykhw3di0NGFOE1A3I1l+jY2g9E559PGQusu
doE9PFSqwjhXPVlm0/hTII5JNLaYBgKy3XSsr61JlLfNaH07DotXUTfsypkWOFzeXTNQhdglUTc2
YgyMBtpPtrafPKlSOvT5SdUjd2b6n/ZnHLR0jU4opNfTgIhivE6bk8aJ5d/XBiZtf9kpPq0MUnT0
5/eLCk4XrAxl+a7Z34aJFI5jET6OYvfvbyT9SH95J6ZsQkfHZNviRyDG2HZDnajDdF40TMVVPJF2
Huh3ZhuW+6hUuOem4YpAYxVmt6qdnJpuPnn3uIylVm7kddetpnwg5rlMhYEh0+jvycK7LlX7NqN8
49Sz7lpdyukmr6CZmnfxc5FAOo+y6kvYIxA0o6jb5mZ/ZdKcpLDwZ00d4bwF26Iz7AdXd2+rBbCU
YR56o9vHhn6FYXxvVu71mIKkYtu2lfQq1QseJlIQImc9VdpDXjVMKIL9WGmrJJucVWfmL4s6m+ts
DJ/qyW0e9DDoiD4ywp98q3/ut1BwsdF//lLljPPTwp5aoogbMqnPzvQcLa+z8xPU1c9e/4eNQ1Uy
auQwnc+xc1slGH6Nrz+5Lf79rrB+uP9yKydTGlPn2dRvYnqpfE1qNP+EwvHnSe9v35ID1ADMlQnX
9c/f0mS3I4YM/gpMv3r31o05NcnXeLJ/cjX0P9/jzARcYkts+uU0vyhNv9NuPl2OOYlRIiyVfqaM
eWNT8+6yTeApPqqK9cOqWD3srfVwfP0Sr6P7yX/J/PmVJ7rd/Qxurcs+2yc2zPf74tNj/f2Dfvog
LhnDlRuyjHQbxmtrlEC3/Ta/RBvXp8/bbLQt3/NGW5NhtIp816sGX5yLt59c27/7FJ/vTrn4fPoU
5L9ljt7wvT9Oe923VyiPb+zVNXj8yNs+mOsjqMmte4420664NXd3GCG20451b7VsQdC2Hq0zz/WU
Y78rtu01SEEYcd49MZlnQkW35t7dk3a2a77mm9t//+gylOIvX+Dnj/5DBa3obZxV/8femS23jbbb
+VZSOYcL81CVnQMCnESJpCZb0gnKliXMw4cZuPo8kFu2zLatdPZOVVLV/Z+0fzcJEsQ3ve9azwIz
ujcWtEdX9VO5Km8Uj5xgz/dCL1rmq+ysWB8fz5ftlqb94MZnJBSf4Vt3WXyWtEK++u7HP38q9efi
5+uD/H0ONU9Whygqusoy+VTh1lmE7rQhzv0GQ3JCb36B4mdRuWQ7re292KgPFNKWf77+3w4vL7PN
j3F0Mtsw1UhjXY7DXp6KpdX3uwmUb9fKxTuL0jyrnD69qE+/j9eTWceOQFB0U0p8Lcr3rn+Uh01v
fhnRdsqAFMrVn7/Vr3/q71c7PUxKuAQ1Q8TtPkTON/pXZXD5n7vAyZlPG+zUNNFq7xNjp8bUAR3L
+/MV3vlhrHkgvhloUlbauTUy0IpyX5N5V6p3ExyKP1/kvft0MovWSkqQGHkCtJnmANcUBWrs/vkS
732PkwesRY/X5jW5xX03kOK0zwCSQgX680Xeebqsk1nJ9ANppDjHajDAkHAwuKfNQdNa1xprcIHq
vqPt/+dL/vJ7GdiuFfosCJdOLglYSfPLqGn3OjameJVoIUW+9Z+v8cuf5801TgZNSqqSJEJ92Bux
Tv3+MsveqSq8d4GTKXFKskGLkQDtZSZtitGJlr5zm17Wxz8N/JPnOIxo+vgpzzFng4Vw8U5skguO
CO5Z5YbL4NAust2f79qMJ/rjXDN/6zdDB0YqYl41ZI26ozCcM6sSa79AzPlZOZ+23eI4kfvC0m0s
cT4u7EtpcdUs51X9eC+O2hmndmSGS+QlG4An6/c+3i8X8rdT4emTE1W9rPgMOuUwL+TSol6n+jZX
3EWy1r1P+eKM3M/ds/yFw1l1O+76Rf/O7DVL+P54h05+906qwYsRZLRvvM5DRjUtVEIBd6l35ezN
c23devfqyl/kVGxX1RopwrvEvvc+wotr4c2PJJGUoud92eylXbHAMYo++6uxUjxr1z4Nm3KZnVtr
aS09B/eaO6yTQ+DFT+88J79een+sEifPSdJpmQ6jYNxXq2ElFsSNzru6beLedFsUgfhgF9Me288n
Qqa9bFWurSOuLa9dhluIJg9/5Uv8tsT3cjD721D5MdxP1Yu2hDOXo3K7F0t9ba7BGA+raTWdE6m9
eIS/vUJgtS03FPXOB9e6XWL14ydq1snqOvLmTcJfm4N/2Wpztex7idf7TKP+m8Fn/zl7+o//fqAi
E/AwnZp+5ld979lbH3QFS49MeVz/Zt957dkrNmA18JcGtVrD0OeK+asSVvvAQgFaw6Bup9h0739I
mTSkTESmoaDlLAri459JmU42u1Q3UdTy/g7OEHrrygx+ezsHYhMbo96SffSICq6dKU0c3P2Ov5MG
Ie9yq+5wUspjS28oPIv88d4OYJOVVvxIKK7iSb3Rg1AgXLRbCo3il1yKcjnQoAxcldS+j0FFYKdL
3kdNmSiEaSTFkYmnBEfzZz31oycMgD621twIPaPuCjcfkHX6A7brNorFsklrdT626N2KhE+A94R5
ElyWjMAdWuhvSVSy346pKKNhrZ4lOwBykVBgNyKfmC3V+UphCQTb7POQtNhZETaAnWPEgxJWwLxb
5VBOxa6mfz9N/aWiTbQLnBkPea7j8KTqsh0ifyLiiq7TpEik4dYdKYW1Hp6XOq3lUjrGVDeuSt/e
YXyKXTMgW5EVWTnP64KYJqlPlqNJaGRFtpJHINlhaOqDlFAs6AMcN6MOc7kAgBQGEPoWKcCiEnnv
WD0nWnMdpfK1bCoZVdG0yY+SgE+k6bDqRLkKSjO8w6bqWnj9MWZlYK8J1taK8Nmqg9hVSwvlfEEr
GQqcM2rZNYlj/aq04VxYlNjxKGZrwnOdTQlqBa0n7b7JMj1VycNDh5l+E5UxDVWjXjWDVFyZaAcc
Uquxq1ABd+jolSqgpki6UCZt1ZkIKUip1W9rsuasMCFGYqQJJtMHoDWckXk1gcmiMXmPXWrurUoO
FZ+cArNb05d7Z0/0t30XA466tokUhdaefXpeiuWwl2lBxnuVRsFKS3v1czjOTIQxyf+qpP07/80S
nN/Pf5s2+1KkX5u/z4Dz615nQJIjZ06RZmo8vvS22WO8zoAE/jABKrgE5Fdv46vtEUPkPP/Ne+a/
kn1exZw6NkpZUTFI8a7f6Ef/wAvw82NiwB6d1UozoNWZMd6nUWRNO/YQ84z+SB+cIROPV0X9zpP4
LX7yzYINCVMm/gHjAg05k5iuk70tebRaHCd1edR6Qhpnc8+cpBJqaq4dQ7kSSBcLc0gupyIyAbGH
oXWHuFFNLlFUj24ItFg9U83SrYdiK+gJRNggTS2i387U1k4aOuz06BsSUcjSdqydjSSK60aGrT+G
TC7CuhqieuOPArE69fA8op1i6OJMKvuDZCdf0jH5LOEOastyG6fxHQRFTPtReAiaemmrULND+trK
UD1XrbUuaWh7KWLLdST01pUIiKPs2W9Eh5O8teJby94IrXb5eneBKW9lh8GuKSW6/fwprZ0Q3B4Y
/zF78pEWUY/HGVbITIeirlZl2p6TANt7dj4j1wi4XZSW/GVWnmg62ilFz286BfOoqt5WA8JENWo+
JRnHt3DsH2tTPxv1Kl+JuLzIw6FHQ2JpHmuB4fpFdV1FxK9betEsg1G7yAJgoE2tXaY9Xrepa++k
WFtN6MuXNFYJ21Gb59gix8OO0Olbojjmhb6z+kpflgQMLdJEEFwi0zuEEBK4Q4xTKypVuH0dUSh6
OX1SsgJGEnikopWujJ6w8kxNb/rMIdPXTu4lUZEX35dbh8zlfdr0igto8qyW6JLIikDOYQfnQfPI
2WuFUc6Nsl519UHAYUjzT/4E494XNliZQDmr7LbyGvyVKHUeKbFzGhirXWvpj3adhZ4dR892ZkHy
0O2J5pVzA0X0WY96F3HUUyRAASk1/RS1CqEo2G6Ba6RT6y9KHMtuNQswtCTf0sSF+9M1q8ieEaQa
MYF63eAOlWT0Gnl7bB3ptgswYUopRG8trGZC1TWuAeEVVHTc3AeQqNN8AV3Mqsfv59jxtap1LtBB
nLVO9ymR8eVHo/kcx86DoSQvVhttpWHcQMoQJhf4uSo3iKPSZV65DUZxnetGeRYmSPVSy/LCIux5
WIeHLia+qexFu7R77odlTfeJ6RNyifS4i/MnXSGrqKvk2yRIoREQgzVIdgQ8sYFSIz03kn0v2SPe
MUzCHBXpbmGicKalNZmFumw0HLblSzwiOdPIbEruhkPOqrgxgp7uqUlzsXTS5DaRNWdrTODbTa2/
EUJFPls+ZSBko6RMF2lRfsWNNC/KUbBsG5g5Sd/sWiwtn3S98VIT/3VtfpyzpzBNjPF5VuC0lqSr
qo2dWSSN2M3zs6rwOvpsksUOqnLKwq1T9G+AW4iOKYmexA1dGxkyco5LFkntjM2FFlI1Kqy70Dae
COQQC6Y1gf5BITWldLtw3KHE/8whbEcWyRn9k/ug1eN5zrmqcmUZl8pVoWhbDKlX42h5phR8VBPU
c7YBv00mx4iMdss+jsSoT3WzIvHH9Z3xK0gGNDxW7CUoLpfE57iJUBdWXWHVgOVTld3esoplJRL6
5QBkYaH1+FBp5ca2BJFJOoxN9TGLCB/z1ZqklXCliuGTVD8ZLU9iZ1orTY+tDIdITw/f8Xv093E7
StJSxs/z0Qq6YS1EpbpxMKiuYZdNuU807S4rdOka6/fS6vJAdtOYeWuRFHqJEdOYtHUDDt21ia8H
lZt9TNBUVE1/1/fpx1pI96BitUu5NaYjC55YVan4LFRlG1ba18G3D4LAeCd1MJlksGoMpKFeJDrO
zHFKSs2UOTd6Zo8XQRZeR0HwJVYrye0T5HIVOAh08g2pmDk0Kb0J73OVX7EPb6gLx56jSWdtV9+1
SjEBE9KylT8nnRIvRXMzYu1xnYQ5oJVSwsfacjpI2JRvzBgw0zhi4w2qAlhGpddYpurW0xsr2zCa
bU+kjaebHdIqpenX8GfIRMNMjOuSoKIuLUk2auByAdoxNn3qKBtk+Ecjaa7YHs8IinXczdp6yX+M
MJzDSFVucAncVcpwHRiVuXX09m62F8/2Kf+daI65PHKy6BL+as8r7ozhn/0lb082ZtqW5DuL9ljY
PdCZQ2zfmHxqA6MDncE3+57jt3d9q03+eRfBNmU2qZiKhvwJz4pinVQIavLoG7Wv+6PtL/3koxiR
0LzTAHjvEvPfv6mD9KlI075N+2PJwBwhW4fdg15e/x98DwePjMXeSlFfxFdvLlKHSTLEed8ftepG
UD2Q9lK3/fMl/v6zcKveXOKkztvAaQoQIPdH4rUysZqyBpviIbc+x+M7Vzop7337Ud5caf4kb75M
GnZGZjZ8GUHdSskB0qlnbQYeBcf62UQh6c9fbP7gPz9vig2/w9A1WdMcNKE/Xw77JTriRukxb9wp
s0rAvAnC3ZjdvVzm37OGwaD5/VnjI0WW9lcGifllr0cNKiqmpqpIEWXlL1T961ED74RhESyqGbjA
5J+KLTpcVAWhHK4K7BAviaQ/DBKIZkl7wjeBPGr+q//EUeMF1qLQhEYGYcxmxJ8fkEGWgq6q8nY/
jYkrKmRTJFISUfPOc8hg/elJnFvRnDMwpimzyJB4hZOpQkmRW5ixXu5Zipxb7AVwEzIwH9PGtm2j
crUmb/VtXfvTdayiNaFzrn+KbSu4L4vYPoPP4ewUK8PWbFXGcAxHDQB30RWeOQagI+Cv1dpDNwjT
Pva+6Do0PAiUmOkjtkpSemBDUivshEt2SUWftgiqpAC1elT7+V2UjM7SsKcKq1f+aKR6v7f0Mj3o
rUwUu1ImKWodHxdbisdWSmfrhRX1hXaQu9mS0aXxoZpdGhk2NDd0jnDkngx8HLkIVj6+DgsPRI7P
w5gNH6rMtwD0snR0f+VkS2PItv44ClT2uG5rLCNsd55DwA4TVhIFS0mrddfprIdiTxffY5uqvbmZ
fgGzsdqL2jDP0si5KCHOEZSl0h2QJO1ZJ+50o/uhvCeVjZJ0R4J4BEAPbIF9AcBlT1pe702q3XlB
NKnrJrduR0W6Q7vCvjgOEVE2TaBai1ZDzRJQyVmqtgzKRp/folFXSmJWt+zCoaSZdh5e1UEn4WtR
qqUzyMOdntIXplaIWqtOOAboUjV6MVpMYTb2WSgpyjtrqzovaD8mu5dHjJAGmXwHMk6w5JyWDcdK
BMFgV/t6mX3ucd1dT9fWQqJxg+N6Q6hB6AVLTBPLakn/5Az8+1Ld+O57SWkv6SA/PseL6tgiyQCY
Hdk++PlPVhPKfn0b1GGx99XgjBrf4CYo3tn060h+rcRZis4nFF014Sf6tnwRWJV/pvAbmYnI3NFi
Q+bLIye96YF0dGdVk6yIUq5ckav5YBlogWMfNIs/DZ9ECgNOrcixtOpY8wbUhwslxDBj4I8G9bEm
xsSNKRUK3fbnNMPNpAH9UNU1cmBlIRowQJEDJijLIR3qXgEvgHNvuexJMlB9XMxJHileV0aLLMPw
xyDe94OjrUWAcg790G1AEK2iZRftYMsLyS7XcsKDZjkCyaocv7MV+HkS+UtvIFOEpmxB7eY0csqZ
1N4pQR7u5S6L10wEHLUrXJwwn5aQNfH3iPcE0r/ueL255smvKQ2dVXVJUBOgqVEkrCgZBoU31dZG
zwiHElBtAxOjiSXQAabAzAw9H88nLAMLWzLOCXy8kyMqFV0tPYMeWpVCoLk1L2V/ejQC8QCyGOFm
LspvncR/12Sdcf37NfmbddFNf21c5KWv67KqfKAEC3kcYDg9kLnT8bouqyp/ReeBJgfrLxFQP5og
dE5sUtUo8X0jpvGEvq7L5gdIuJqK3ZG6Iu0V+5+sy78wFtoyJBAZW7lhcLXTIqClBEqaVkZBDCJV
furgBET0JAcOkL4W6hAoSI2TVaoRX5vBjiXxObzPHGu2dZP52qyLFNJQK7axIWF39pcyHhTOjlZx
TjBpcYij6uMo63e2A5TUrkfmG6lZdmNyY1b+IZYbNOVJgAq7iK3LIdCmgMDR2aWbUtYuPDDN8lKB
kzDNwARnRieExFG7iUGuQC43oRtBWJhm1IISwIWGvTD5QKudGcdAQEbmSRAahhnVMI5AjUy4Ql44
gxy6Tr7lZOdZ8bjsZ9RD4+hohF/wD3AgzBkIUc5oCDFDIqAIFQv5BRyRx49O5NjLcYZKtBkJmCmc
CSjX/jad0RNULJcFbu41pNJ0ZxhSf+5HIZEGTH4gJuLbSGT0ldIGGRoWwQJ40UyzQGQOOdZsb6pI
YM9JxK1pBYdSKD2Szf5cHyKx0oTfLohVbb1c4iTU6zJJsySTLxLRXhB/TnjhWKQrnFdrTMxnRq5+
zOLuyoF3hJKWfKwJQb+lCYwGSfS1U7SLIJ/2k0q8McUyDYJQdZc2kuu3BXFBUXnehiS9YBVwXPYB
rjQNjVvMmJO6iDUKfywFqWpu48a8THyibzWOgZ46BUvBYX7VS8WjUEn/UOV6r2pUyoS0LuTsPMui
g5K2O03DfEh7eSc6nhm/rY8iIrLBTrg1lCrapT57NPPAJdGGioV2YRlhsmrw77sC4OMmUZCKl9K6
iqVjMhT1xQSMhRCjqHIJdblSTfXCweyxrEZkNXpGRLiakNeqkZaxSHXKu3EiW4u09wmHrm8GZwhX
lMYuAt1/GAWByqlkk1GvmZ7RyB91IR5ijaxkJcXILhoTw0BwGfTKuTLgKwgGdkjO18rsS7JKa+5h
bW4DESkc/I3zpq0PERp+6bIorHR6GoeU+Gfw5E5SfgT4JgDoEVAcTfpFjonlLG6c+yKRrxqj+mqX
o1sJ+k1TsArgnpV1D7RHWlWyuivScB8VxdkQ13sygY9djvUPZ0MLYKrtt6ZvPE+m1JIZ3Wv6OmrR
gUPh6qZr1ZwuAlHVa4WC9iqIDIA3msl1sb+n1bq3pnp2ZUJV046VcV/DSMMz6NzmjrLAQ7arVDYV
WWNs+1BbBOV0bCf2OF0EZcRoL5nsKF83HodstqARPTBf+Eetbs7p+pIWYje7oo2uLMVy/TG4nko6
mGbVQjkYoDaoVcNAgYywdgKFDQy51isN3RC9tGAjMBEvVDW0SV0G2Sa1PDl5CYQmp22yoJB0tAfp
ztLz56KSv2a2mrj0Mj9OOXYYJZlRYwBbDY16q1z5Foje8guuMLCpSXgRDTbThCwfswJkbQsl+wC6
60mbKIrLU//U1nhBMnO4gleITzjvHrC9roQu342RdWGnYoXFBLvbwHix9VoHGBZ8ygcakEmf03oc
11DGPbmsjk4E8MeMV1Ndgm4V/j62sPFEZrIp8tE5syTj1m59jyvjUnT0G0U2VKyLbMgnoZTLcoiH
pZDUi4FhcLQK58oY682Q6pGbp6jmrVRdqCXJJVSe1IVhNRiiKds1Sa27TiQ+h4JuRTNyUDfTdEkA
1XPgPEbglepGu0q4J6wDhBUEsISa1D5m7MJlsOJMYXNZ18dU2k195BKOsg4FpuUoTqGNN9LXiLez
7QTf6xwWbQT7kEPWAudqt9MlJV/yg44bA+/PkKM3z0gQIGFA8Vo73zgDTsrWroLtAHvXl7zE1nYh
uM45d+BBrqdoy3RMdoNuLAKisaVQXKuRvzankYp4aLZAd7D2OkH9iKuRuhwOj8ogmKFjI8Rps+Kp
KUm1Hs51uY5dSRPrloaIkZT7viActVR6Wj7DlTwWS1yD48owrV0h6Cfh7ccfPLarvlWfEoeURkA7
lwQ/xMsppQH1b43jBQUxNz9/v5/a5uMvYvrm17xupBTjg4kwxCEC75Xl8LqRovbBFgYAgY3URJkJ
ad/VJGyk4K2pljmLPRwKAz82UsYHXJs4w9CRENX3j8E4PyulDIqGAG7nz8DxFFmJdlJy07BbYJG2
GtSbZrgqijTyhiKj43Q5qszudC2c0J/MpR52coj6soNVZaDBU4gbUsccQ8YYsWEQdiTGA6YhHI4L
u+2NCif0gEeLInwaamvFogcE7Jxzbw3r3487lT2OU+QPU2W2+tFqW6fKPUsuO303GEZf4znDi1R/
tqammiZipHwLBuswVJ2DJYuojXVcl85FKOQQd38FabPv9VtRsJvAE0fYWZFgC01iGpCi73akoo4r
glwwhaRJe6WYSf9Fzg2jJE0vDL50ejWs0pplnumsoOFVMLtJhr4iWS3coOxh82P32ghbTvW3IOP7
iyS3+r0Sd/M0VT4XPXE0KDLU6rMdwYRJG1jlbgjxfhsacXOj9pxeuYPGoz2lzroL054+YQD3cYrW
KbS3KxCgKQzQQOB9lzlt2gq4G6NpiAoxZZRshA6ukhZmml4qZbmoa9L2aNJqX/iZmg0nLaKelBIh
h+OE6gOwuekYThPMuERt1S9AHI1dK+pgO1IMukMhomGwVkkewHrgTXbWHto2eeSW5luBQONaqSM5
dWNZti/0nlgG7PzhHp9q4AWjEe2NqK7XjpNWy3hy7P2ESQ9GRE7fYsyQf0LZeQRpnp6TvlV/bLOi
XdVOnJPrGKlgNxSgrWZYJ6vRAcypUJi6pG0orehq1kct0koPkVGxI6iA/UWdnMH7n5YYt+2VMMbh
udfDdGOXWXA2cK7ls8WWdBH5pnyWRXVauCyyrAFNC2RgtOHxBSSh6MQaLgajYvmYSHo9SyvJ/Ejz
8xOxjuq5yuH8wMf3V1KS6Rd1obKtrSr5ME7hcJbafbwNIlyC7HtjmnLleBVWdu91dS+WY9QOy6Cb
/FUt6jrw/p1Zv82saCp+P7PunqpfIMcUXvN9ZrU+mNQ5sTSB4f42fb7OrHC7IaUq+oy3oRRiMR+/
6vSYPl+kI2i76f9Y88Hx9YiqM7M6CuFdhoHxCLjOPzmivqj4f9S55nobXSwFnQq4HqrHpypYSykD
WQknXLy1ReQkUYWEI0IdQU+mO2ursz/DV+xXYia7KhzydOksq+125mlHanwfqaTAHEK/4JAKYwox
FrBmTpVEJ7bWsaQh3x8R2e5LLYluiG0gfS5k40X+3QT2Ow3jBy01mMTzkXh7TLHKMqBrB4CDDXfk
qfoUrpqXp1XM1u6t7ksZSYhKY6X1PVCcmMbtQMweCRBaa4KkRe/HTuUsy/qpuA6oh0toSfyYpnoR
AE3WAohkFlETQ8cZoyr6eC0l0K77mfjaJaay7AcxUf4yq49TF7YKsInRnJZa3WIWHlUHKnHakkFx
UVq+BC9LLyUic8rJvGhHqoVeSVXoOjLNGf9nlWRSgHRbK2WYNNdI28n7NOeS9ICCUV0Liz+PQV3c
Tf1MIy/JQoxRG4aFtSUfS5OX/w7RlyGqUc77/RClmPTfVghqH6P68Re7oPnFr2N1rhlRTbJ1VFVz
JPHbcpL2gX4IxZxZIYvblCbc61i1PmDiRDRG2eP1Va9jlbHPtmX2xxOcR+Pzn4UVn5bGubyOeI3/
8aaI1H5u8xgpi1zsV9Nhaj4JKsHt1LzT4Znf4cdkQLeZd5WZWUxddVQuMRfn3zQ2p9I3y6HUlEM9
SGClVkYaAR//Spv+zQ/wi672/D5/us5JH6mQlFJUkUEgACc0pTrvra9/vsBLP/lPVzjZLwYA3VU4
E8pBHaxFp99a8Lyl0XUkckS6JbJqt+7uy3bTRsem8BdK9BSHqyA4qsVlk18HfQm3Z2cSM2xDaQr0
yza+7jl9Dk72zq2YN91/vBc8WG/vuRZJftNX873Qlv5EmHD5qSUzFrTGoZ8rSxSEovHZIpJM8K+k
y3w7Ev1W9G/NFzi9VcRFGWge6eghaf35A+R0zZtOtsYD4jzM7woAxvNEVzV4WIjRShdhYd5uY3Jx
q6FeGG1/paS9CZicQKBOlibQCSSvqWUrd0RyzdAf+q3rNLtTM+2MUNMaLq8UK7eDRrlfSxwIVL4N
FyWOlxUcnZL4BLUTK6UZva4Z1+F06MxomQW4DIREDu+0rgbnmKlHf4pXfntX+ymdrJs6mDtgKRBH
0mMQ3qrkJVGFdS1IGCOZNolxU1Cm90zQ3pMga46gmlZpzy2ZFhzWf3FX02IZJY0deQ6SSL8EvxsP
2bojzvqW48Ci1AAxFM5No5seJOFFPHPAjSjQPT0StifbYMqLJL1HVk1jBQmyAwPGI/D1HY/Uiz//
xy/EGv3zwD9tu7KthdY41NNBXmsbfzudN5+0tb2tDpwwztlTu0QHeY4LOw5P0xnQXW+4l7YU89by
2ryIVvE77I+TDs7fpgl2O28fWR1Yo5XNj2yRbGGogWCrcDethPzOdPSrJ/PtdHQy4RFnOaVhyHWQ
N6Y3w1cRuFHrknxh+u8MgllG/MdBcNJ2RNSWVpoTqYdQc2PqnV47UEBe9JQxKc8e+ve+2q9mQNoL
KDpmjTAW759vIRb1wbJSTaWlTat3+tJJxz/PgPMb/Hhmvk3lby9wcu9IjLLyLlDVQ915LSCWXkLk
+26X9J2LnMyyzuBQIIKgfXC63STOGvNGNR/+/D1+tSS9/R4n0+PIWo2ZwFAPM79lSEkiMSm57x1c
2y8X+q9utV1E4GLq4rn5H/M7PxYkMkVB2PzPn/9Yf/tz8FTM3p6f/rB8CfK5bCHWXj3VbcpLv83V
83/5v/uXfzmDbsYSt9Dnr1mUe1HdVNFjw/LydBIVpPDw/X57tIvyoP71i163RUhcEMUbHFUUU/3b
EQYigWyiTmNbMi/Dr7sikyYb/9BEJzb95Zjy/QQz14bYRFkqpOV5x/SPnEYv3KkfT/p8goEySpgx
whfsS7J+MhspvtaMSWkZ+3CStOqW2NyUXlA+ZooXhlJrLWxYv9FFbSfaXYkaHrZxn17KkuY6ZHJm
ZAkOTeQ2WJWgRtlmLbZZUWFJtDptZkTRkl+iaDmjWN2HqFiLKbksCAYuAe2TmP4w0N9CxKvtRzMX
nj6nCVPSJtlVhF8gypAyI5M5jD8gpPotuQNxxMjWEzdTk5Fwnvo6VPw7yhmEFxdyTC5j+hJqnKQF
LMI56bgD3k/qcci7mm7Rwki/0KXR3IxhvIngGxJon/ZLucnZLORd+QWM1kPQ0StrzMxH95KvIN33
bpHFGxFLmyiijTNU+RdZwxqTUo2FN5XdRoH0qF6U+XhR6Ik3aBa3J50Q1ab+jSLsywyWkTN263i6
VBrztu/qT5AUlzoJms635eW/eiSun4rZLVf/PPL+Xx6I83769wPxOnqqfqVDm1/1OhLnpC/OEsC4
kJ8anCne9LuVDxw0VJ40xWD7/tb053ywLKhtdMI5OODJ4w1fDyjwyx30Z8hYEdvoc5f8dTo6fhtj
zGS/3UoCBP5pQWAswuhlprDouSMQ45Ty87JGHnMWqkUkHygm8zhm05zK+FAEX2UH4Qrb2crMzyMb
AVbUO+p5X/L/V6p1MJX80GI845G6Stv2oa4nl+iiYV0n4V1eGWtB/0TLbfRRPL21dQ9aHSzonHJr
JTCuKV3QhYD3GbS35ZDfsGUVi9ahMigEbWiY1Pd+HHnMUzuDmJlMEZ+nEO1mPN2puiTcbGjOQoMW
yhBbbjJFm7rF0hLn050SWJsey5kLcOs4WOF9nOW3k12cO7G4Q/WXLRJDfZb6/BPCu4+JkgFUbRGa
O9JqsqYjQnLEV6Jcl07cur1D7m7UmAvNx8dh+f22IY6BHCl7ERAjZQkaj3VnL8bM/ih6lbTeZgSN
3iZkDfv6LpYpGsa9tDF7ZDIKkJ5NK43rQoeEonRYH82rvmyvxiarblNj/JyWdKJMYZ8FofxJzoyd
LZPSWcrDRZCUBiZBiMBGnG8aqscoYtqdrtdb0wH7IXzjbFS+1qQJBX57O6IUwE6Ikmiye/i9MOZS
OsapRWSoxREOeeQtYR8Y3GW9cyUkcU2NGXLsO3MpD+Mmrsc1rLJl2UXnbc09C4JU9/oxiM1qkcRN
V+2bocEm6kOYXzcGHdNdU0Qw1vRSbraFzUzTWGQ+KmS3xtDE5QosaTRnl9UvOWZpJ3o65YbaeOZL
0tlAF5FgVbWARJjqdMJopbml7lxkrRBLxAOP+Zyehn5B9bD/cHyYs9XApXn9VD8C2KWXl4hnTk0s
ClBu4VlNC2vOaAsM6JdTOe4szdpLoWq7jVryHjKZ8lJ4lw76fW6T+dYN3XU5p8A5cx6cLoyv5K0+
q+PwRKdgXHRExwWmzqNAmBwEK2QGtbqr5py5uCdxTje646DOGXROstHD6t5OjGalEZ+8NAisG5vZ
v6SbYPit/mttq/0iTwm6HrOG3OWIzDt5Tr9LA2kf3KedlxOLlw/xV52kPIPEPJXGPz6BnZnn67go
L4n6CJchGXuljkXIJHUvJX3P0h2agrL5yS+zlHhWf2Er/Sciey8xirkA5+vzvr6nPVGTnyEVOESs
KfJ4q2EhE24jkahJ5m+6kKSQVkM1dIu25xePQzJcxyLYJmG4m8x8P1Xl2ZCXz6ajV26qd5QexJhU
j/9Xdnj//60rM/Li9+vK+efk6Rf7O17zfVVRP/B8MmUSBkkFeMYCfC9Rax/o+LFR05jMTf6LHxs8
dM821QImfP5Sftn7va4qqKXp/VFPJohJIxrtH60q2glOYz7/vpS8WDOIkZIBzv+8qjiaSjFU5MYh
6dJgRw6M8K+HIcmBEalRsu511DWjpQcueDd0sGm61StsZzPneJP4OOWyUUWe38sOhu7Ulldz1hjc
awP3IPnGtoGNsEdLtUhgdktObFxY82Q2pDL4yICOeJOsnMl+MmIwi93YE+Pi6xNZDmGwy4d+F+fp
SrI7wN9q3F41Xb1Vu8F8SAcnX9RxCBmcPOFULtBtluteDa6EgspIJobSq1W8XXlWbZpJ2Tu182T5
JNlp9gH08Rb3yXUEBlgq6jspsMtd7hc7ETrbKtSjLWR39EQBEujwOlON2yCyiQay2WfqiVbSGAvu
aUxtNbtcxrJ/Twz657kiRlINOtak6fp1HUZ8Zt2a56DOrSpkqMgddmIWcCSVSvZFuhdE/yLkCC5E
pn+uwubQTPlzM3P0nKZwp6JnYfDLs8xKLDcrmo3hUBnBFsGugygMlCHLRMW4SVHR06zxbPKlO7sK
L8de9wkbirdtgGhIWPX0v9g7j+zIjbXbTuVNALUCPtB8CaTPpDciO1gki4T3HqP/N1iqK8pc3aW+
OlKDRZvIiM+csw/VJeW1XCLqVR/mIpJUlpFPCYsBVm7gYfV63gQTMW5BGb41GSTOiTQ+L1enrQUx
FlaNvkWScpGXnOlDmwLUquuH0g+NtV5/dNYkdlZiOaQcVmTsmkiMbPVDGRuudse5rNKOMM0IN1dv
V3eylspJAfyZmPV1GjQ7p68R90ARiNvSds2ABK5RBNPzlM8HGRjfbRaVCwobxkExPxmcZ2ZgPI9i
vq4wRPW1+jSUxLbXLQ76zECIPiAhLjGRZ/a0S5qRMshQIQV1w/soEWZBNQ/csAw2sda9ETLFCtXU
N3afvE0UcaQi1iS9a5HVvPZYR06sonE8ZkuqRotNOPWGJWuD39/aEdAMWd83I8I4elJlIKZJW6lX
GaeBJzQb81+F6I9rmL/4TAAIKYWtR9xjtHEUokCJ2gQ1TnsS7qZeXM68Ga4nGdvbRJHDdcm+dkUL
dND1WHeJ917p1XJvR6VyGQeBvrJHUax1nrYVY0Kwtok6ERKiR+MeJ6S5go0dHaQcZ1ZN5rAmZr3F
WjyQwYf6H1j3mxTBZdUHGLk09ax3SLVsx7kmJyfwmjS+qCxUzZr6yEZ/uq1VJXkiM4uBY5WxoFVH
T/Xrci1bHsja0hMSrQHBGS0NUI5oUWc/v0LByXOjETJg54KScIBwnBnGegygxdnKdE60fp04eDi7
qg4hiWNu1KLmte6UraqT7tTr9T630FeRS3BQKMIPapBK6OlIhAgcr581VmkrM6f+6YLeWjE8ZPoZ
2qTRo4DcQEzO3LmdAbWq2i9xluEnaPi3Qz3IbT4j3koSUL9F1iLXU2LBmqoqwMcvr69vASo2/GPl
hNt0GC4i3lHuMHcHssKuw4HfWiggbYLiqE4gWTNAiIVDSnU812y3HUiToY1kT3a8QrC3SjbdbRxO
mywH62dGgNBj23ELSeUYdEzDSrGNzORJ9PW2U5rbOen7FfpWzN8Dcnw1OTddHWwmdJtuZNdbvyx3
Vtd8BLq/MDiKziuVlDcs3ksN5n92lzVxenLC/irnL7oqjMhZZwViooD0ONQIj7TUm8EoyfmV72Oh
oY4rsgMeDfbY6rhljXH7b4XwY0P2txXCsiHzovfgr7ZjX8oE1fqG1prrHOgAq7Blk/GzTFBtEqNN
pNPc9RD2Fk7NzzmQ/o0LnHPEtpHwIOP50nxq30zd4DljcmN/ioT+SfOJIfIPzSfxNUxUPzNngHvb
Yvn4l+1VFMdhE6atfsbNwRMIYb8FSNxZZoLeIhtKtNf9jA9gZYhSGz0gtfNtV8CHDNEv6l1svyRh
jocJRphAjmqnqno1qA2wg7ifymrV9LlzyR03HwK9S6N91U7anU4KkrlXG1ErK8dRiHH3df+QTJaA
zUo0o3ob2U5qwHyd0+bNyQNrONc6AuLrpaTurTx993tc1kUedanbGbKLtyKW6sZBq9TftNXU7g3o
/yBr5zCZ15hKuufZsDv6xyoUR21B6tRVxc2T5wM1/OiwD6jqdt2JKTqa7WScfH8u8aY6vvPSNTlq
aaPyB05cw5pdmCXdVaiZL9OUP9tJ8BZbRram8KdRtMz3ss3e6QjVlvDDyviOV9uVS+JWFQz7fBbm
pk2U7nmwAouwMREhW0w61SXBl9jcqJWPKsQBdLiD/zZGVr9r9ByhEWb7k5JoGRrj2r6wq27cz2VZ
bel5CrfuWWtmCR4szNNIleqOYqL3CbZoSg/XkdsMje/JNjvKzqEs8Gv7PJnmvE8MSDwRiPCVwXFo
IwRf1QFdks5t5RYwAImaSrxSOu/SCJWt7OddqjqXOtig7eQPQCChHK4CH3JCY2B9Cg0faekMGd7i
+FWdcdW1RGhwF2PoRqstQkxBTmqOHkpIcx0rpXYpgiS5BV2k3+SWlb/HwmAfU0X5I3blGqBN9T1n
y/avSeRHXOzyDv/vfc1yaq2Q37zU36P8r44uPvtnh6Ma35ia4fpg16IvcsTfHV1SaNIyBAFY2JMZ
H/88ukxy/7B8Qt21F3nOVxGO/k3aSHPg8v46+v5HR5e2rJe+zrCxmgimc1B+8b6xFVo+/uXockZT
QRKnhxdKIjXP7PEuy3nS91Y/Vc99rU9Qy/F5IeTGoG3jF5jhmPtD1cT3U5zEpCXDnrggSc3wMCEF
o2AsIPrrcZBA4DtgYcA3ApQtHSSKtI9xmlQAwjD96Z9jm8RWq3lP61UHzbblkg5vZdsuJVuLuzJX
MHWvOMDiu6xI+3sDR7KGiUJMzK4lQT4aJ++mLDEuFlC1GEwzQkjR/zzkaq90bGPb/qHMYNJTxJYz
mIGc7Co0xFXu0qnIKz3pyyc9q+InxSzNHYc7ikO1T/1L7LiBXKUwRqA8VLJzM1bktDwRG0Cn0Pag
FDKXQOjuLBQ7u7CtvL/JENesa9JXDIqQvGdEBqOlSyv5rJFxOrsOHgeEy3VnYaWWEfj9GGDjjYJS
e6YQy6JdWtvzW6YpuhcGxtTk7iQqk3SJzjHj0l8Zekfcnez1dmvWvCCNF41K/9RGRPWhPGUoZcRq
hwo1/qFJnX8oVKdBn2dn5wSSfzaVdbC1MehcN3WPCMrJm2sHCdYmTtGSrVIwB3dcWReO3pTDVfGp
psqx+Yp10CxDvOBTcRV+qq+AyMRPCTgzXBZdSp1mdQkNbS6idCf0vMU+KUs/3leEko50apExvFuD
DN4dIle2Xav7mzQKi8VEiEm0URqQFEptoxGPml/oGMv6slLIdrF+6k3+nfRrHDD//eS6eClf/jyR
WT7n53mFEEngjV48sEu6KCy+/5RafIixIAcWwxD7c2L/n/NKfuMYowKymcdg0V70hL9NZNgKLDF9
+q/V2z85r5j8/OG84kRc9gWE8QC3AsFFlfj1vKqrJuOy1ubLsmwympEWUCgmD5I6p3s1rrb+Eiw8
qJXnl92r6PznyEI7gVwYHp6felWi3DtEXQChOpszBZbZZssaq12JILq0onQz+fIKvhsQOLXT1tUg
tsnonAcdL2ZWbGXg7LpYw+FGZKa0WFPVATMcsoJJ5kDD2+rqu2LlR7Zu6Kx7IzjbVrL4tSH9yMpc
T1prripcZOQw7AWgQReixwNDiqtGSy9Np41WXZ0TWqD36UNiTSRy4W6ZTOcaew7qoMTNAYx5kxmT
rZcWREe1xvtQBDGov64kl5HvM5n9dlbqwCVX1CX4eZcpidgEo1p77OvCdQujrsUGUh46qoa1Vg4Y
3jTb8bDVu1FqUgCmrwGxZMt2c1X2zZb+MwLKbcTbkV3gxhYI4YdkV+c5zWpL/gwRHLWRqnttKo66
SKODqpgHH8+LK2tBCk9in4akKFxnsG4rNbI2k6xbV8l7fgunNi5BSu/zoSMsYXasldmY6R5BHKkR
uquT/EeIof+M7OYuVqS5jxR9Z0z+O5Iy4FPGSNFnZV5jkhylFUxxFMPYFSGhSFWSibtJIoe3R3Of
5fnoGUF5Qyz3bsSM4IZmoroBx7tb4OPfW0NPZJngBCMbYBPlTbfGnjgxpEjpooPkrVZzhjSVSoyz
Mms3TkXOx2wm69CU0ZY4odBTWpX0lM9xX7pM/mAz5XtrmQYGkmyGATLZvmRUOC4zw36ZHlqaHW/b
wkyrXU12hH8rB0nkqhV+D5SCAYKfOIe5xPiipvW+roK7RjDHFq22M5SydbPWWuMLM9c9zCzZ58Ux
l/UZ6ftHMWKDMeaB/Pb+l7Jh+mLN0UOn4RKMGLm6vV/+0jdSrJmAnbp8xL4nDLeW8fXcyh4COwOd
wTzns+QtoTy0g0rmyjDvuML5qQPjEh7jtqNdMCMk9OQRFCAsm21sayd4j7gqnfYZWd9lL5J7LHgV
Pgd/H2iVue1ZE3HzVdG6jgkei8L8xRHJOQzYUadBuKabO+eps2uXonywsR/50T0aOrojhXyBWBPf
9ah86BPpKUE6rWpkxi99ba6x9DwxYwlXQ4tCi5BfV52s5Bpo1XNbopMnEQQD3HEyS1I7jCPcAgru
wrwci0I7k+7CpLRK16VtHfWRQMWaWA1FC29I9ltskxPjlLtEWRuTPJYRM6oeAY0f4krMS+Uu6m0V
J1Z6LUmocdn+PJVKexNbne/mCkYD0y9cS29Z9JBsE8VrRbF2cwMmiDqnckXdOG4NATQNnTNjpj3z
tsuIVrIzeNXB8Bx7mwlbks3PjgWrjD2bS2QttUG8ShXApDjrT90w750yesWdJ1a+qnoyG5xVGcW3
bWq+OjVghm7Eg5FX9kOgYMZTM583MYk8MLNaYu85Cxmcpuw+c23KfvAV/r1xkdb+zY17emma978S
6n+5c1G5LAMKphefm/BF4ftzvIHNHFM4Y41f5b9crL/2CIb6jaUJzhYTSATsrWUj//POZe2OlJav
yCoELcw/85J/9ii/6xFMGDOawX8BryDN/czj+tIj9J0zKuhXhksKycZeh73PKrRbtqLBBDoh1fxj
Oydku05x3ycPaqcSJcY4J2r35QwPdey5KE8NWK55HY9aO68JDMwp+4Zct8y30RogE6Zl7c/rNqgZ
4mJX2o2WGjgfjsjU9nZqGjiKbWTTGPsTtayXlsWyz6OhRwtfWYE2k0OaDJgZZ/SrlNcd990604J6
XmPFz4hikZ+mmUTddiKRclv3gWHep6oSWhubQSp+AkaquWW0u1Lpp92oT138Mehy3AQx1qN1EMQ0
R8tMace6MjgovkxfI+LCoakAi1tN5dSvlRSjVZ9FbCBCqhKRKXD58Hq99kv+1jxn+rZFXhAyfg6M
rTmFH9agYHDN5Qe7HGPVZnBa7JKPQdYlqLRH0DraxXAMg7KhqmBsHERs+tOWjCocOohpbHIeNLVN
ai/TIBvXQhGIhzD2gkEWO1kbzCb8IX9R5eIpmovgUNZKemUs+OB0VJ2tLPP3xCb9U091oozC3tg2
RRutRZNbLKbwQxpml14lAgZi5ZCPVhI+mFXVsJZKwY5K6u9hoxQ71EI8Fn2qr5DQVuu6CGw0c8or
tU+ws+a0Q+FbyG0I09geSCkqNZZANk72xhsA9PA7afa2KLLm4Jgi9jQljHHfIkwOCqs4JISYRV0s
PLaCXMf2MF07jm9uB6fI1k0XkmwyZAkLFwMIcUcrlM81P6bUf0nzRGOwG4MgqIET+4NNBiXsoBWX
AloNKG7Ypa3qGuwi0fDB0F7bEbO6eVIrkKETSETcTtjvhTOuwTkPy5AGILRqdyQNN9XaH/Nkx/UM
Hs6Pf1Vp/3tsqkg2/3ujciqa//f/IZGn782f+5XlU3/2K8x/CbbBncApaaPB40M/z07sowCwFpwP
sBfcFb+dnbrxDUYuFD3oZux2lzXxf85O7dP/xLFqYq1gNvyPjBNLN/J1uoJdA54vox3bJqbQFn/o
VgBQsVDJUY122Xo2bcqFrVE9fvnD/KqF+grqg/D3F9+F7goQMfor1jz8Db72RJXP4tmczfiiLeIo
9QrmpOEKgAQEbV1L1rHe1Dj+NPVkLxzvbiF6p7N/7Fmw3ogyvE4judXMMDoNQrAdpnZ3VdlB8VQj
wpbAhQ9atu96nPQLV7tTT2IerptJO1dgxsdav8S6dRAx5Uu2kMhjUTkbezle/I60Qgaj39URfqm1
MMzjNhnZ3HQfKG1qKBAWqPP6E3vu8/njQkKfRtawh0GZiQMaRttrl7lAvEwIwG1zayRtDr9VMx78
ZYpgp6b+rGUKwaBMuraRSEKiORE+paAEqoS8PxUkpGRmRJ73MowgBJnBRK+Thzo1E8ucZWYxWjIM
V61e6vJh1ioLGLCWbmsFysNWLQbwmW7J4N+u3M7M2smnowSMIitNOfP1S6/5VFPBFC2UfCvZJ3lU
fujyFz9bzaxnp6dGcug+AWN8P2Bj5id4jIYJCBnk3pvC/gSTqbj0q4VW5tSWfYA7Gzwt/fpjb4fY
4wCe3RqfqDOJexcSu2ZSkktuZAAlQ+PcFwWsAwtz2FrphOFp5RgS70tsIGyrad9rZk80Z2evW/7m
p9yfm5cGKcE49WimRqmtnCraKwBg1xgKUZISBH4z92z1xJSuGcY7N3hbqXPjMPLk5NAGlhme4wRU
WgEgvYoeZWb2J1663rOqaF7DfNCQGrC5HNMxOlgzUcg2S9EtUYiqmztQXBqybMmorZqtpfe7wcjB
3Y5ac01wqsoNk52jPD33dUNEVR1dG4W5l2FHbpWV7oqIuXqgi6vGGW5b1e7vg36UH5CXUT8knjWM
1kcRdeiOcEf4lXonlG4TWC3Z3kWydpRsk0h2kiO72cYqvzdN+04q1PsUTw8IVr1a7w8OmfYcIAiS
5q0xivME8Ex32h3+SChNzDbr/lWYHSIFZZMOKvcPYb3d9JazPAiKN190qjdYqc4tHvBDmP2TaUWv
6WwZa6tJmgP76WClDPNJy7S9Hmhnq+y8oUueSl4+uA1sLaW99ntrE2hy14n5afSbdZBB6qpEhZwv
wB7c5AJQjxp76sS607av+B1vzI7IzTGaA9QIpIsbvYjOoWEleK616zbNmzN5msdAG3mYW3WbVsxu
E5+7UWbT0eFNJAj81AjUHaU8yVKHVVM8KnMLpMe+7bTgmnnvCfO522vOKev669BBC6GVaw3BI9XS
uNIm5IPEUZIOWtP8B7W4SJTkuUjU5zLJDlGTQDqRh7hTryHYwJwB+0wCsmnEbpVW03G2bWoxigTi
zN8qglsZg3pOzd49HBGczcOBwelEsm6eH1pZfM8m0B9KCINiCtLcM0c92VZOuSWtV7mZJ6Xa/P3J
C2nxzycvDtpPqDtzL/7/+5M3nNSsmaw0uiiqRFv3qTNB2Z0SL8v69NRm+uDZvb8JijCjaprfMZ81
11WViDs5y3RVjONNV8cnMbLvcexHMbbbKrQ+8iQOvLIEKR3E8MHQj2yKmWeabAm38M3GHShIWaWB
CLBlu+uL4pW5cedGcfOg2WG17lW4ukwyilWau0PlNuMeCiH6C1JA1bjeakZ/lWrFtsns71Oa3UI4
P3R+cpyb9FB12skui5MkpIIJwFR4zRTttDE0Ma5FruUrxSZkEhSwqfUa0dwYE3u3MrQOInR4X2N0
hXbO2i6ux3vC7A3yFRC4aJN2aURzDkKX8IwxSs59OV+ETbxPBnNrst7zorTa+3lCirBcKDQy2OAl
X5tBeUqDjGVYrl1G6XBMu4wsCw3oecnYvJiaTRHXl0mc3sCxRWSR96lnoWZ09aUNruurSMeJks1I
omjp743JqGgwImYO9jFa0HQjD6hE4pMk1fekElu1zAAjqOhtJy/TLRdt4G7gHNKb4nvh2CdRCcSY
jvLdJ+F4VWoVY29IBEmaqXtWcZxl7SmyrV80kW6EQLgpEYdMmaa6qFETQBHBpT4TNJKHQJSMMpY7
LYu7hwIe1JFFXX1OqWT3f/+o/mlDzeaZVbe0IX6Ct3b+UCIguxgAQ2TRhc9cT48Ptdat/v47UDJ9
KXX4kjo7JBR0jrkEPMnFiP61CGGdk7OmD4KLFGmoYl1GXUTWxk3NPjauUzeywOjE67//nj8sgr8V
WH/+rn/YvHdl0paGrihnMZG5qGkLDyy/5Vb8he6OPBQMD24rzUfL1/d9lyeIY1tGJjmp30KLiGap
518KxT5FrYExMws3qTOorzI0bC8T8b3FCMUjMPRop8aT5SfjQU11q+Npyot1N9v5WpZK5aklyGs7
n6Z9N9r6a5HH7QaZnr6OougNr1W9roQVepzAk9cyX3dpqW87I52RMiX3aHO0fRaQmzC135G97LiU
7pq63lgsnFeaGe90MD1I6ahQ0gHZ7DR3wq0yC5XMYNJCReONFuaIb8lNqXQW4qYD5LzpP6pm0FZN
Ge1rQ9khfLsb5/jREMnBbAskYQnFWuTrQCzaKOchNvfJHB/Rvnn55KNJxvbLBZNwyorHXkz84zg7
y3Dc5vVAWvDMEyzWSRuQ+U5vXcSZhGYVS69O/XMJ9icw7Z1asOonweYWyzwFHJOyrmWqrOutcGe7
3SJRZozfFS9WUJ1rkV1XOPlhUKC1Vw+92Su0z/rORj7llap6n0/hbvRHOG91d1Fa3JFxae7p695l
JTrXj4hcMI1tUBone/hfKVXL2vVvn/GlEP8yCBkMSgxt5mmLT/lVcKFsqmP1MGznvbmzTpKrx33T
Btig6jl/Hv5HtNuiZPmLb764LCxNYyW8/HBfvjlWfpkn0lDOpWeu8pPmlhuYRepRebQ3Yi3uLxX3
9NivGUr2L/wnvZhOYnWINv6Fjkv0f/w0v7/4frzvdIwWptQt2ijzD3aLSQyo+NQ4vAjFVUlyXiQe
63/o1f48Ub5+jz+spuc665QwBIVWVO9BvXOm678/Pf7yd0AbhFGMORojrt//QbPRmpEZVlzeylWF
3BxlTFD+OKH+bd+X98Z/b9/PL8SO/EXjzif9bNzZJmLdo3Xn6fl1m/izcdeQfrNM1EBrItbF9vef
oacuv+GQXxgE6CN+FYz/HHra35bEG4OOnhvIoBn+J4tGdNy/e7st0m/JjpGtJvZDR+UL/v7pwNSE
A0MR86WehQ+VnrZuytWyyhdntzpnG1lZWxXntzkpXCrOAxkC7Bk7gioyx7qLpXHWi3af4TWveok7
27YzBK8R1fB9WjjQoTRxHSh5vW+HKMA5kcbKq4bKkBmkqvfhkUT2DCVSLnxobna8a1qq6qyLu2uB
gtQrOut2SJaztZ8uHRN0FDHiXhnOyaoai7tpUh4IQLjXC7NbCQ2JpagBByrTZRjJg0qAzBQ2b/Ws
Q0rLh1UQi5sy1q4cqTxofZN7IYtM0quXKq0mAcfPPyb4nSvW/hvfQAGr1dxuEN8u21p9qdJ4RDqi
d95UhN+rIZu9VtByOKNcB6Id3LII1U0CzAuWkWJM+2GE9YjW9qh29qWeBNjjsWN0tssOzUYrHNLT
aP2x7svHUDhPimGTqZPq16Cr161JSEUEqqiO5/u2HjZ9p5YXqj+ss7L40AS44Tq6cbqyp8fPTmWQ
7dVsekia7qgU/YeozckTygQ0Utc75MIISRUlaVc66MaqIadMDy1XmfDk+Bo3ismxe6kx22USWFE+
tAMpH8Xgtk4dc+XRJGfMc9cySWZy3koV1Kj9Fk54XnTk4Sx3xKoZ6XSltgfwseu6+tJPa8R+1AKw
ueqqZOZsdRneI5JoVmaa7fW2dpvGPLdjkq30QtPcMO83hvBfEwInknRUMHqNXpyPL4GFC56v6RYp
Bq9iScgJEfqGuvIioJAiaWv1FXxEV0XgPyWJPDMm69dSNN0GSoV1SgedkJe8vg0bWnGtzRDsagHT
ANuJPSjEu7BHuNJYqbFOe5uNUqZuqa3bTcrzf9ExOLIVY69UzQMDtZ3otIehhzEYhI3w2kZTuXu0
+MSwv6RiBnITmriZ/D5WVniCDBcDlL+dVFVclKOuXZNJZO+ipN86BpyEIThkSePDdtReuIZMpOFT
dIk6YMD2ZbBCht/aQiZlzp265pC/Tk2x0frolyJQUJSQwhKEvJ5xOoFix+8UgVj4cqj9xejtDzfI
J44AsgN3B55iqEmLWOHLlVzqY5+kiqNeptl9Ynw3Te9/Fu5/8S0cBxEYixdOQprN33+LCUlVg07Q
uEya1y65msq73PlBefj3jlIpof7ujvr+/leu1+Wzfl5SbOYocvCUoo7jVfiq3sMQayKTMUhz08HA
Wbz2P9V7Nq5XHgeqCjTBCzLrt+my9Y3XEvken6D/SMH8g8v171yvhrWUQL+1P1xSEp0CyQjg6hEQ
yuWH+PoAojmYGpiewaXvZIxcM8R6jQmyYqovIJQ8lomyKkd8eXM0HWwYcds8w5pXdDvCJt4Npa8w
hppU70PjshE5gosH8+7E5Iz1bPAU5XrpKVZtQbaPzNIH4XBE+ZHjrPHqvaldGdPOkKSLzqRX+ycr
zT7UOOFeoMeCXfBsOamnMOB6oN0Uu5wJQ5ANvmv7Zu/xYxebrqP6ikC/Bqr2BBA096qI7V2jG+yE
FMvYjK3/0Q/NO6wuhIC4itaygIfMJPC2SELI0vnLLIYHxAHEblkBugWTqWOC+sS0FNPrFh9g6YRE
a9rFqzTjt9CuLzJTWIBs+RW7uknWTaleKanuxWlwLsr5GJM/uY1rkzSHSLsy4/hK5Pq4iiJqgEGi
xE3pgLfYgLlhmuHNb2IshmoXrZJQsiYKuWBSEd/1/XSFix58smiRcOspGpjMuW0yBACZet3kQ43m
zgBl7czHMHUOYTseuSmFaw8hgXptvw/UMmaKiFMCe3KxKjpT2ShYLD0nFPN9kxTwVbngCdiyY8xJ
rX6gqIo3TjJ+Z4U5HYI+BLmcCxwrWSy3OtKSdRnoJ6tS95UhSwwTvn89KTmBZOSnbaaAjs9JMzKQ
lMhy8y4PrwsLuvOSrxXZDFqq5wnm2LYJ9GVjGzJADeyIWZWxsfHjQ0ljc2rluHCDilAxO4fDHGRv
rRMSN20zWwTkmK3TnAZuzPzn1KYmCeryHCXl5PFFJw8C5SaOUOqIuV9HvgpUPLeag6ZVNwwnQ8/G
4ObFo8kD2UFeEI2h72rUCm7QzW9dLeBXNx0jJOyqqzjJHWqX5U6JNcKeJ3nGAuV4crTe67KHIO2o
F/mAEkJveZSZO45e0KMBKwN2J6pi3eYhqSB2EhNTxw6ikXa6a5uR6LJguFUmv9n7TCZBbOerIQPi
gIsPZ1PX8xg79pUvECNVRmrslMx8cmLtlYkc9yXecW1szkoGvSdQJNlkQ+7NYfU6OQZJDIMNjTpv
HBj/09waB4JIVQzmPLzReqzR4+rDO2jyxzHgPa8lsmDAj3JqQpg16a1+ZQ/Z05CXjedLMNV+03a0
xNPDyEyY6R12mTFSQHU6iVcU7eQmSfEoi27YDim4iQj4uQ9pmxiIwELdz4K0kiFgcTO/mwv/srbK
Uzc6jdcV+UfUVreaHu5zTR57KRAOxUe8AluN4W6ohGcR47ArJhavRko6S1YbN6Kwek/l626qUT1K
nc0EA8s9QXramv3Q0+AEu2YwjiyxP6zW3jQJMYiFDe7Iz6YDIqAXbRlEYK1HRjciFI6m3jpEc7uR
YzD6nQtxuX3Mg6ovNmNYGrMbKnVxqw9d88C4dWB6rpWgi0XT1zs9kuZzkBTmoW3KNLhKgzSQ+7ZS
jGc/sDSU/yYmz8xJWg+vw6PK9HxtjviuVT9I1z7Py84okn49xNTXA8/d2iwZTPMUPnVGtyNinjgN
39qFSJ1X9oS1iFI/XzmFfy3n+XLMu9YltGl2MZZepVbAKEjlhMvKiOMpSTVcW/FHUNvXNcz8HeL+
zQTocEe0ZeraJVgCp2Xm3T9UZjFveBdvpQ880CE6ohLzlWNExy6ZTLcsxYs6co4X+QCBNrtRB0TQ
bes3O7DbEc+afzklQnOnlghPhdCnVY6iIdnnBcNMjBMvdtGHoMuoM20rOkVJ/KrJgdNgfB1tbZNX
U4k939z6hsH7MEWEYCvJnRhP6Pu8LNlJbIH5DKcclVwvLwPVjDb9FH9YekhoVcvQF5y1nUZrlaEC
AZFgRLHV4+DLhttsRise+px+dZYFmxzVNiM+hEqxFoFWBL84GdlW74XqZgO7ec2qbqLYRCFS2ye/
rK6KRkRuNUBQobm5q0LtwgjVzDMDZWPWNU2KnSO0LK6KrLpQkOu5hbBIDurf4sEKt8OYHodyLFbM
DY8+8ZdmJdENRJeTiRZaa61D6ft48+JyEzliXzbyWeioAXUBo8xSCpUoAVKTIba6JpPgfIKPzfrE
dlB1QjZ/t3qn3gwzh60OPT3OELBgaLX4h+OmtuqD0Uq6o4g0gqi26SBszmc6s6SfgTdEt6mfvVSd
vddQLiTtdOoL5SHReamFRIDRFS3HTb/J1OA9dpydSbtaKHzUL+VH28ffy0Y9Zlr4oyr+t57UmJr/
93ry4r1/+f7y56HH8lk/68lPioq+6KioKhdRwm9qhSVQBLGAtUgZSAf5Wk/id6e+lDZzv8UmsggZ
fg49qE+FqaIOo6SkdTP/ycwDeNEfy0l7caKYDmhWLPf8FL8vJ9kNlDqslOkyyq/0yUYk7E/DigLy
fiQ7ZyUmdh2Olp8gNN+QIvo6lani2soMJCRE9sPpJFZ26xyaBHeT0At3VKxXhFDntHMe5rm614f8
o+uCDfFdCzjbfiJEu1zJxlrSSaCfatmpGHQQFn5PDvqsXwyiYoHNnHdVWckDZq95oxd4T1W/YvkN
j6/QzF+SFEHjNL+iyMrRGju7oeruk6i9qh3jIpIAVoVDMh+MiaIYgwu/bw/FALkbA8VRldBRRvrr
bCz4nWcvZoGO32PfyXDzf+ydR3PcWJq1/8rEt0fEBXDhFrNJpLdk0muDICUK3nv8+nkgTVVTKrU6
auJb1q6rFWQyMwHc15zzHFg3HkHs2ToLlKe2CHFwYBzWnHPCcmqSLMEzyyIeMSMbbOrbZUSYR2lj
wdWBKON9YV0UXupYNRFtlePdRNhvSHiTqxa1O5UDg/pIB2lPKQmFRcFMoxgv6cQm0ew9i3NaJHsr
D51liRlwqQzeLAWLlnbfLRM5r0JHNOi9M2Enbu/MschXU2U8zod27PphJe8cq0WejRosp24fTNg2
D2rfk5fS2ZATl0bZCOR7UQMFZfiORAlmPArIbWiQEFNsEwMyBBWRDNupB6nSznAV3NWbYcatfGMV
eBBY5IxiSWGyFBAMEgGkpWsmvIIo4MyaCyeA5NJAdAmT9wq+CzVRTs5RvRshvwwVtasJC4aBmAII
BDwMU/aTM3tN4pGsAAgyozT36YyUSWHLlKpRPsi0vvqpRMs902f6XasNmyGKiHc3PJ1sCm+bAcV1
/VI/jDPEBhSKtRuVEbY1hBulq+yFCfMGFNBGhHBvZv2GDRVnciDWibzALO1nS6cjxaWDoROGBB4L
qDqZ5q11KDszppt1Yvs4JclTAocn1/nMkPI+Cwg9dDoPxGy8+Gl1M8wIn6GxtzFMn7oifUfkwdYb
wP1Q/K+yodmnLboS4FnPUCiZ/pWvzRiu6PoODuQgNSxezJDUDU9noRHPeKGkSu4RBj8EM3ioaGXN
nxYfYurKYiLbtbFeSgenNz6jE2SF6xTIjdCpX2askRhHN4VzZMA7Yty4tuAf6RIN9AxEKs1JO3L2
UTFCS5rijnwXfx1nX2ImUW3HNrbuvU0e9nOXINVlbtDiMJixBWtqB9UCr10/T2xDXc/UXlOP49QQ
MY7Fmjo28bGsd+M9bp58MeQJ9IfKus8y/8Du5mWyg1PiDLe6hrtdxJRJpfPFS8UW+xaXkVWyv0u5
AL37JIKFDFkZKoYsuKHUey7jZ6tBKKB6+bkJzdva0b84JEjgjcTD5PXxIq1VkqUJpKOYyIxFYmJG
tRleMv8ckpsxdq5xzHMlwG678zr2WtAL+nVmOm+D17zGSXnjqRULJgLUlnUvPDcdSwcBu3Eo7Fre
TLq9YWgYZLd4aqO7IlM/eyNVDX65hynPjwQgvamZusclNW5Tz1FWTaydA/xs7OeCej0mdkbf1rzn
hTWtWiuIl7DXACs0JRJu+qcFCQrs1A1yoj1ZHSfVOjSaug9bsniD5lr5zDFFj29vIhepVQ55yrsM
iewomkAsjEmRiCL8ZRSkrQvsd/ntpPvnyJ+ZtP/+yJ/XHEVe/+rQ5+f+OPQZIukCWA34ZhYeGNE/
HPoCCpqBd33egIBC+zhDwptO4icTHm3OsWCy88eZbyH8JgISQaEuoZ5RKfyNGdK36uHnGRJbE+xZ
ksiZecj446EfVRiirUkLLqmA6HAKcCh9GlQR2DsDg4+PBbA39lNbmp/MQPbs4ZQMjEk/KP1LNVn1
oxPI/M5xQmNyI73t87WeWc1Trbcq7RgznZUZYFaSofIIVQqlnT9JN9EI8NEG88YmfaD11UvbES2b
jK+9P71qgScZ1l7N2k5XZBZstIRkKW1kDEJo5GroPGKfqz0LZVypNYgQNFg1zvnxNS4rNuB91eNn
8ms2yJi0RpQ2Lij6dZJ1eIMyy4Yk7Oykj6e164k4T82r7IxrGprqMtYRxHjDeSKwhqc/q42svCt0
7ROBWfoi91g3ZFlEzKk2TRs7xKqOfA9RjDSweljHzq5hD8frGHP9kfDyQxvEPEs9zV7KGn+IrHzw
J31hu8UUXzlYHko5FSe9wgdF0piKlYWRQZWO9aKXM7gkgRHT6Gj4hsxPjhlK58kqnqHAd26timLZ
iup9qqsRTMhARE/dbpMaFz+saJWmtbCsiL7QcaWkHmEmuaYjAO4S8RmAne9dnzpgG2b8L9kN7SJz
8scsiL/QndziVF/aRfJZjYN7M8dT0zQRfn48PABWbsOCeVtnWIEL5Mhb+ARJ+DO4MU/kNTDNe1ml
DK4M64uZZwfsxNditFGXCZtGkJIJU1keLXJ/OBAP6Taih4yQZ5skVBCNyXZyG451iCuPkVkj5gE6
t6aBXZlFc5cZZu8qPYukQNhrWVrduZ1nY9ZYg3au5K7hMf6IChFzfNzeTh3rEHKhzhksu9l4x5hv
bB+qMXrzup61fVC1lCJibVX2E97HZ8vzXY2dVpISbzXMf4bormDy1qU3XZI4ZESirR3vhos1P8uu
PSZOfDONJj5DxjEZAejragiZ6fAwB88/HhqTy041omOukXsHdwXTgv2kWAwmG4O0JTUaPFepwnXc
x2ejSC+6Ux0IsLzpakZDlGZojSy5Jtjok1SUZWBoD2mTYLXNrX3RmZcx7HVWSGy3HJRmXUnH7dX3
dmS9mcpwqsz2nfzP+7qxdqplHqMuVncisGB0Jk7tGjnfA6L1L4nac4tNKPbtIYGWkpkX3ry5aPrg
uazAVakivWieeoO6Yl068ZuieK6dO9T7AVCVVE9v5hhsOl02l2mTPQUmG3U2L9pCEVlyUIgud41g
LBcenYdLRtorFoB41YzJrVp7z4mSjy5OGCwdqK0cezomWXNq1ZjhlnzpzfSVheQekKNr99ptBNcu
8ZxdUDSXOhEbqcutXiTxGjjcqWU9vMgk5+kYZ0upzSk3KvApI9g7WI4PoVpltxCJvXo/dOqsI8y6
RarpE7kwJcLOyH5qUyKy/DxVmaQgqluXiWg2TAARjmU5UQuD1G6GUe6RD6jngBvL5Ts3SPxmuWV0
0JsZXQ1PU5n5V5zZySEC4r1p+AhWfaIkWxW4z6JAT0zGGhkXYtGZTbBtFB2zCEIeKOKFUNdKBHX9
n2P6O2Xmt2qEmddweqV2+mtzrv+oSIAyA8qXHtwW3/K0/1QkAIzRVPpry6EYpgf/eFCzeNEQCxhg
7FGA8gs/HNSQ6GDW/H/KYODEtzVDs2DasMf+8Ziu2x4wqDn2F5HfVL7Ea2V9L+L+LUSVv/RDIYCG
R7DGNFkq8Q41NqizAOnDNhMXVqy35ExdahntQ+tREQgLbmu5Vb2bvjvT436olW6+r6l+MC78xM35
6yvOf9GHV9RIWw4nNWkvUdEykx7nZpUlLpjO3M/r277K7X3XYNc0Y8Nb1ObajIhMKb3BM1ZN2lir
iOTET+TyaTtmibOIvJBLtc4BbNnB0SAgkL177BZEBnZK/BUb23NGlGA+Zwpa2JlpZStyBufEQVKq
7VU1pxDy4Pe3MjY39ZxQCEdaX/tFmG+8ccjccE4ytOZMQxg01cLTQqArHOfEHtpdd6DW4ygKUcAT
jMgCnmmeZyPop32TIwMSs7/18GAvPCzMGBNuugBimI33WczrIwIYUYYsWl15qOZkxi771E36DezX
bYdxlfCZeoNQcSMLErDxTywCM+/BeFU1tnfwya013VkNLA2kTMAj7nLExFuTIIVIhVhYsgtrbqdC
8n+0aTXkl4TAgEao1hnEKPCLupmWaauXb5zTRw7dE7uaY2GFuyGGHOR4Z0XE53Eyn9QEk/YMZmAW
OSdRh5+lIb7wCDdWvSFPQyH3nqYvu7g4Nugy2nbcjXp4IzBRZF4Js2I89uNwROabL5sJA4Fv9Ie6
E08ljnspczIps+nBSDDuM/WPz2Gb3WRxg9sYAM4U70WOlnlA/cfMk1qvHAiNrbtYLPC0rerIeoCP
BOtTEf5aSwtGOW3fkJyJp8BmDHPk5KaBt7VDkn5xlP4iA/tat7SCKgynRRBUaxTAey8Jb9pMueu7
bB2w40etTYVFzhfH2xcrQN6vmtGt5vcrp01bFOnkimlzXMN4y0kIzYKRiNnLTV91a4FvsTHtRaoK
li75HbXeTerBhe2HmvVqEnfXYQyupqfuKsZIdmE/yzhzB8uo7ouZFw4i8mumc0x5Dlu8DCMhoy8k
A64ad+8CIU3WmstSqpHLE2yHnJh5sk7BpPS0xP4NIbsniY60NFImN8aKRavbDt6hrvNtxQyhnhoo
acoZ5sJS65UdDwpIe37DrlfUCx2qbunoj5JpucYd4pazZCgzEviBPU79KiEFM/TbhT4q+7ie7gGH
BIsxac4hq5eINWsUdVzWHqSo1tZenTZ6pQQl/DqhHYhgGvSUsGyq+hSoUmdv/zn0vh96vx1Hz4fe
Pmf6/ysh3jz5/aM9ZSYNs4zFEuUtAtZZGv7nsadCWjU57+B6/G/n+ofGASEefwRNrUCVAoaV4+hf
x55ECvP9lzG1/nszaesvOjzYqw6HMk5maCCEHf14Rlg2wcuDHKvLqHQm0y2tVQl9yTI7AqwQZJdQ
EjQSWMHZNOD+4de6BeAL89sXV92T17hq33NRwFQdgl3EIzqw1DVStWNM1aZ00z7J4LBm6nLSmHd3
cmCorR8FletCb9OzJu2151vHOlDW+ajcImJ+sMbsyQDDZXslQC97UYGBSMZsF7ew8hWF6i/Qd4Yd
PFYjrYoUt+zrzu0YLgFmngera1AqDEfTnjZGpbqsBB+MEqsv72iVVP2bEzYnz4GHWOmfdB9SW9Ps
M89cN7pz6GR59oLg7OQDXFiJzqo4t2BS9Rzx9KA9obfcBio813FcKDEx3WqEulVdoTcnP3haBqJ7
ccL6Jgjak9+PbocfV/ZAGBPzXGHdiZ2vdeVoqzTqyWZs2z3Rha8YZhcokJ64i3dK7SyxMl8Df9oo
UbTE1bIwiwqHNj2rN4SXWfMdW4iyIvPBqNPtNNbX1G7eMm04K3Z2Drzy2Jnp1oAVCRN025bQOfzi
K+m0ZwzoxHw72KDk1Qpo922l2DZWlrE/Jk6ytZSFOiK59uJXPZdXpzDdICSxjVCYS6s0R1+bE5u7
XYXNpLaUa+TgexHeo0zHBxitRKKxEC+DcIWQXzKUFiWNSHkK7aRfm3053CboIZZ5aL5arOU2RTng
jTZa1x+KJ1JmA1r34Y0GFJdJVfmiXH23tHu1XUXbiGTxHbL6KrrIaSKGIZJmpm+6KgMVQXe17IZ6
Zyi52OQl3krASNc4b4p9ZjKzqMs4XKgkr50GY+qW3UjyMX45kBqZjxBRn6KrpmqbWONxbDT+NspY
CMCYsVe8JYSHjCNcyL7WIiqsctXYInJbq5dEN2fGsjbHu1COJVHooB483YzXU9sULiFFGij2+gEW
Czp+s8VlmSDCs/EzTljfDRabjqLdK5r3GVshhj95mTRjLauYUOy4h1HXuTLx3uFonGygmUrPz52q
tkFhOMrWLaGQL3TTX4Vpfqvl6WPfYvMpupqDBVGdy2A6XkaFfPP9JluIKqMrqst2WUuHo2MWIcIN
dxRU7p1sU7frIFjEmv3uF86nbNQeUOa98/czm8hF7Y4jZjm9QB0QpNgRQCtDBYoh/3eFui2Sasle
9tIF6R5Px6Mcxq+tJcCV2nuZB+F6UNoVkqXHcNJWTpqUZ8B85RobF4D2VjFPeeLdgaL1kTHG9UoL
On3ZSsZZvZo9s//nUy7TL0puAz4Z+mqJWzNbR/Gw85RkE6Gbcp2pe5lyOChJM1xCYb2hrHwbZEex
NpAYPlnmVjc7g59MgMXAdNRKbc0EZsLSoW28XHtuSrACPKbA7QDB8duaiKrwefRZITmK/Bx6Zbo0
SfOjy31T2mq2XeK08sSyzLwnYlM7dwSFMyHFIlJgpgMpmisb5h9A0O+DXk+XIhrH1WDyvQ+e94z/
Y46l9yyuL30NOYnln9Nzi4bxCB+G2xJQLEgAXf+aCvYvnefPuyYCr+IQIWpa7sJwMvnbuj0z8suQ
IivBuoKSTCdfXDD97h4zIfZNj5sNGaWzCBXo2C3CgTgQd73fHIwsuFdHlt6kiiyzKkIGI3t9aQ7K
MYQ9w5o8fgBJzaQ7LaxlYhVJexcEcbau+toPXCVnktix5XKVqAt2ErJwkOBIy4StbMTEQn7MMIBl
dYpapNXYW463RVrDa1SH5DbM8bv9U4t8q0U0ju3fzMkxxn3+a/M9/9AfVcg3BoqtwXClVyCzlH/6
UIXMHaluadg00Dri8foXAwVxLG42Y268MaD9WYR8o6PgL8Aq4NCeszT/O0NyOTfXP+gsJUxqQqoZ
AfC7vjvwPzSqZV4ixAii4KZsIwPuzjfSiGFdVBAWTPT8bxgSsnJmJklbQIpAOjjDSshib6o1JQwQ
k/4b0IQ7Zgu2Q/descBGYtX3WaIceNME/ahBNBJDisHIv6H+h/+DfCyYgwpbbeApOBlTErpJ7Xgz
OCOzdGSXo4msi7GWYwNCGukAcduFZbC1UDzxrIkMZaEPWMu3pV85EcB3rm6z7JPq4iPKAn+hj721
gk6VI1+zTWR3Tau8G8inN/9c+t8vfa7H3136vyKEavzMn1c+xhUKaVLENMwr3y7vP658bgoTZugc
jmhC3Zvlx/+qvy0cS6yVUCBThM9SjQ/1N5kINt0mZTk/9vf2Qw533o/Xvs0OykRcgihlHj3N//7h
2q8nnAqt0ZpnX8+mI9HXooCYbQelRJJAqvO0mLxWw0UB/TJZ2o1n5adRpKjh2jDCgtkYIjnZbSjS
ZqH5vIbv1lgm5MpTWhk5K85+LVvoE63kALkrav2nvkUbuZyEL5nHxDAhil0tK4p/pzPMgUhMC71Y
oOT+mg5ZoZXNnvBq4PhFDNrMG566psouO3y6aBlZXftKTYCjuI8y7VRlJmiIFILAKK44CtA6qpSD
uVegvk0PWekd1X54HPFNwqNgu1EU6aYtdmwEYOv5hUYxHIVubIEKTQYLCaKNuqL1JgY2w/SUWs6N
KlihJzDolbYmLAXk+wIbWoE7gCjLbPyiDc2wDNvuuRkMdGB+ckhDYSyxEN3UeTaue7PDdtw67Js5
vVzdmoZl3JgJ+QYZMd9GRYS80FZwB8Yl7nnmCHb3RZHDATkfcrHKq8CVql+GocjhVdRriBwII8rE
TdWE/b5WuAD6H4FzwGEr+2Pdxq3bhR1He67f0bGsS6vV1l7MlltBU+6R376TQewvBpmfIy2/Av9h
FV4cQgxIwQD/rWNXoVJ6jm3yJseC1VXQLRudgzuJyRWTeKQKfy+9dFUVNvI2D+eR1gwRK648Xtuj
hbBZb04pWqJ1nFR44mFEqL7/1LJvc2N0NBudGRLBLj7zMOzh0mlctWz2XdsRyyOqJz8HOj/FxmEc
1bvGH1aEq3ewHQhSzqKrn3XH0NCXsRW2CxMSHvJNWrwC/8m2ir3AFSR9CiO3Vnapv+eJWm9VNr/4
r3LakqzZBDrbHT1+AMv7mEblguL5ogRF4bIsI3gp4dlqJxGCbqpcC0AjdWMr9BdR0BRaTP+7Prkb
YgNubDkuqLCQGthY6sc6QpgstOCA35+gCmeCLtX3Txnn4TLSmqfB6x9VWd/LGgkGNKsNFO1LVBtU
NPZCGg0KTHJiEZP3VPxxAeASWYaNwFFv2jsvwg6Wg4QFheLv/Fr627IprySbvsS2/4kseaQpITUX
QpOSEAmpulK0D10oTFatQExyM9grSr4XlvMKCRDwoF9q0O3UO2zgayRG90UtNoqe3/SCmm8I9TsE
ZvbSDgQ65YEIoECeQqtQXFK410OYPBH6kW1IznhN/WnYkrGxbbtKYp21wYgrLGz0FFVK02QvUTZX
rLMwJxkm++CIEd27Kja+mKpjSBOT9ohPPQ1rEpgfc8Gwa53U40VV5XuVMA3Oq/LMCvQhJ2Vij18t
IRFseI9D5xpJKmlTh6irJuQf1dP4te/YWHYd2AhEItIF5sNUt565GBZecY+6Evs3lw6oH5IkFMT4
RTi6JaNEl/5hG/vDqxk02aoh14gS2mENVZ5URb7HzYBbb4DtBd+PCwpRM7bTrxUiZz8Pt+OUv2Tf
1M/IoK1ZD10gjBYVCmkbtu9Sa1lPD5rc+aDBFtOsqFa16KQisR6RWo9IrkEP3UaVd0iTaBc05Z0X
lF+bWaONw+A4Ito2leK+mFXc+sgKS8zKbmfWeFez2hte18qa9d8RQvBsVoRbPdrwBOOVMavF+1k3
Hnb9ozMrydsculg3q8vJ63gZZr35gPA8nhXosLYgfA4apgDk6Vr/3s9qdbJuwlU2ykNgpi/DyCeq
Ou1d0jcaVJP88VvOg15jO5TGe+Cjrxtj6v1JN3aizj87mvw0VeJrp3IxsJW8Lyq+MIzY+tJIGIer
fobkLrVuOnwnpD2o6Jd7BcBQdzaUmDGFCUwluEzkaqwNOXvSO0VbTHgxLA73ZWCLXZsj0CLnYdjJ
3rjTCu85sABZVEn4nvY1s3pJuhXqxGxbx92DngGdMK1hQgFRdfRT/1RJ36skavPfVknNO2CdX/QI
/NwflRKTSny6DsNIIHsUShRRf1RKqGehdengwOdJ4bdx5B+Vksl4E2E02GD5sUPQjTkL1MH/PWto
DCqmv9MhkDz1c5mE7lqnQyAFQsKC+Vk7mxaJzEcoHOdUn7p1ITy5zIX1YhEgl1vtE1Lxh3i69cZu
g1h7pRFs2Tb+gzcnXY6zdKJgFlISgsmOnkBMvY8f0jkhU52zMkdCM82G8Bg8kbuCOE3hZzwo2nxt
qBVpRnPmJhvDTwB1izd1zuPU52ROHnMefqQI20Flbj2/2pPTwGBKD55SA5Xi6LxMSoOPx64YQ5av
AN1vnUB/rUz1eehGzTWb4YROPHfHIGbtXUYHdjkwk9O8exqF/SlECX/ISE1aqT2xRqKIHuI2+SRG
a9rJ1N95YAHXDDq3U6l96ur07GRkJ5nWHdO1GKRi6YChgNv70Abhix0q217kT3Wl+HuLZDunJkcv
685qBP8mGZGohudZHFKO1exCC77krP+pHrGomP3ZmXUQeajtZL6OUD8GY45C+G6mSljroolfSo3h
C3/iBhkswgZ1FtGSSNMYgPviSLMfPOktcqOut53poCPu9U3kKUczzftt3lgdcIl21efRtajNI4aM
aS3ZqLldkmzLPPlSKUG/bLQafUclNpU5Ba7RtTfgh7ci4ngSzOI2Qaa/N2EomTrzeglGIsMnZMKq
3phGhEvYvsfAnpZ5Hb0yhkGh2GIaa8JLUjjnlN2mGcE+xFFz7H1CJIGUWAay00YOAMsEi5xsVlj4
Uz6wemLlksSwbhKrrgmAgLnLQczFFjoGmEn8IY31ahTKDqtXs25rzfWwRS80bbztLbN2LRVdU6mT
+hSVriyja6ZSMwd8c0qhPxhYLco0qVZwSO1jqai7xM5PRTR86tLhMajrt6K0mQL3o7ecTJPjMmoj
d6woTEhd3IEAzpfIlJ/akPZ5Qt/uhkF66+Hmgpo9bOmX83VFwwGF0ewXQO91LYww99hf+T4OeVFc
ZBWgsxIbQ02Em1JPwWDR2Drpd9GUfQJdd2jU/pRPdCZTk+3xQR0FgWxayuYuEQUUffstqv2dE/h4
+bQEi11939fhHavohzA3dyLL9y1gkdw0dzFZUOhYPmV18mDGJR/q1B+lXh30Nj+1HfbxImZ8nHab
wQuPkmVcNvXbwsl3asXBM0ra72DvE/9Ck64fiqQ/9LW4EYFM1u0El9tvnnuLmqWWE2VVcynahIj4
ydozjb8aYXGIw46l9EimQZK2LDKgKYnq5BfWJSu6z3UI39n2tbs6r584Eg/oi09tIIkRGK+ZSNiU
ctPHScCcO3zyY2tj+Pk2NUN7h7NrY3b9nJvUnPSMSSX95q2M/B0s+NtU6ZB3MSgP2mrH/uKZ6Wbi
2iJJ2Ha21z4wju08qQXVxVJmSp8ZRWytlrN6bJbaMNGc2dmJ9cKnyXY2vdJDH6dMC7uXDHN5bYiv
U83mMAzpPZABhTTBtHaTkqVXLaQWSew+YQyaGzz7Bl3fs5IGKmcmB8dvj2isdqQak5+iOujEg4vs
koPnY1mIcv9Ebmm6Cp3srSMOZqFUCftrZ1PmzrkCsIWOaFinpVBXoaE+wno/Dqp80mMFlEB0N81f
IbLNt4Ikr7z2MT/1B9VXngbRXXQWLIKg9sC0sBCO/aum0AaFhU+eW0kFTnIqOyFjnbV+uCnt9FNB
0Obo0P42YbWN82gTZ0XPWF59tEyxL1kBBwH2w1q57RAhupq8t3ym0eH0FiXW3cTA/5gZZbETvnct
0uykzFAID1S1nIxPamFuLG3OhkDOFjVw5Xo2Qdt5w6Fp/ntMhcisKBeH0RqPCE61taoWxlqE+sYq
GdZyURRIMantTV9s67R9rvvwrqTVH1v/3qvqLfxqOr/efsz6cMN7vicL76kpg243yJs4ZoQvOuTr
JkDVdNgYMr/0jX8fiokVhdltFTBHzWTvqtq8nRJ1W/kOH416UcoqWwTdeNu12h2h0/ZKIFNY2hVq
7U7tbwvdPNUJ5/0qqRUtWbV9GT4aadjw8Detg5Yx2k/tpFsHpQmOdmJJZXfcncwoQoseq+ItjWOx
pWDcWH7m3CAKZAXfdNlqUkKIZIQfLZBNs11o07cORx8Lm2jNCWPQm5EaWGgJBhbSSgkX9AKMcgMR
T4u8c7p9lAw4JJTxa1ax1OEuXsQjcCk9QkVghmAvDGwBXc7uRozmvA1AjaYG7KQWrObhG6X+sVeb
4pJhZHyOVAt9pTFVyhqFA4qbnmi/xJ7grPeJxHrdYYtbFf2ULCdVOfZ6tQdbdqPZ8VoO0crSpkdy
Ka9+WR3aUmNrohOTlBCthpXg2euNyLVQKVRqDRkoHjatRHenN81bh/NFje0X6emnrh85ZEL0H926
8Zin6zXKAzEubSt45cn6SGb31uuDizCGdy/SD9gWCWJkl8aFlLu1QsL5ZBysMD1BI9WpkFP81PFa
QUkBdwsm4tjaS7PySE4wlkmcX5ualReCuV3hm0djCLdqBTExLnapA0IpF/EyJBQKZ4h+6/TpXQNY
pctHiGxZdk/gbMZoIj7QdBIeo5wIkHcphTbaUO4aNBJKHOx8qzzgiX4ypX5gybuvdE5a3Qb5WHym
MV5FsX87eFQK8OBZOwarim4YS8x7GjhHBdI/iQyrAaRn6ySfTV3AiHSyXS7Ca6URLq2xdUHssdBT
DJ6DuKvn/UiTKYoLvxQ3ro8Zp197HTriGQLSOjUJd2QxtNpzZ6OAjtRhzTqQ4Y4yUlqQgZIlJU/3
+DnRWTmSwrjoK3ZRMYPf1k8gy0WPAI83uj3diA4Yatyo92OvrvWoeMqZA9I5w5NTuvCLV+Wdi7Ci
XTUBFipDnD1fJxKSrIAwKlbSszaRE+6cUDhr3wcEG0/vxWicm0LlHfdJczQ1LhY/7w0mS0y4cEWo
K2807Uuu5vtMMk9ImBUHjbhNpHJkozV7WPV1XRPv6BkBQuZapNtgNF+MPhrxIZXQO5LhOAx2u1T6
/Ik1522hmC+aFnmIR7DNwPqCFt2u47pLXLIXECx76taZHz0lfM4ud4KtXyUoXIr4VHiz81yZLopW
HQrVL5eaWQ/LskrpFAd2UmOJ9JP/Gom6V7vyzg+HYgNLesfMADdz0wLvnE9tQz4PKjdaJACMVQMR
XuUoz2ocnpHjujKSwc4KpvpIhOYMENGfNDzC+77ybp06eSHdW27n2x1yKbvSjNM8rjr9xQ4QKhfy
ljlieHR0khnUYucX4l7D/jvlhiCEvGWQkS9FGh9LX2xaSxI+aKRfWztH2aNrNLP2fdzk+5AOP2Yc
2CWEDwJ7eAZLfXUG4iizwjpHqk+QZ7QmEHskETZ6LBPnRQ76FSxyfjD0KMNEbIJFaeTLlDo7BxSm
G4mQGQx2noNSqutcDZGKZ7LbRgly3TorOB19mQr9blAjjTaiqpjWwp6VGqM43VRWmhp6uMg+dHy/
kAPS2H2YM4MUg7bkEHehcsY7Opgc/v3DnFkLhRg0LQsRA8LEyU71NCwceff7F5mBGP9a5PzxIiYq
T1iFKq3kjy8Se+CKlboOL2LcKRnZTQFAovumv//9y9CJ/vVlLFZZEjXlDOb48WU8IRy6AEHhrn3t
8wdF3//t38/kH+UNGi8+rp8/q9oZzRwbZHLJei60re1hUfmz+/7Fd/GLvx8omsYnxAcF4+0n0Y1v
zQNao0wvNn2HcWP8L3Lm30pNZynpX76GD5/PT981FFqV8T2fD95tBGUxonlrKZm3vyfR8vdv5Rcv
BYUbh6gtDcRIzk9fBU5NMfVTHl9EtMXA3ohFwSBVuhzD8Bd+/1rzn/3T2/rha5kv8Q+XsFDDtLPM
JLkUusv8DVIrtxbP1LFb//6FfvWmPn7/P72pzIqcvLW/vxBTcXDfQ7DmHJmP4uI/XGu/uC8tFp/Y
1jkdQd38JNLVjUzLOXizS62vveS1G4iB//z7t/Ory+3DS/x8uU34GHN4stkls18j70Uq/4fLeWa4
sSqGJ2d8m918+F6iMjEaqWjZJeIJyAA3Gf8PDy82ZMIkr5rbBqP2j998pmTU96aaXybrtbfO7bzx
af7Ds+tXXzoXMctuOROJZsndx6sLhkqRjfaUXioKv9GdNy7GLfqRnFWZ/h+u5F+8li14G5pq2Swa
f35OBp7NkA3n8yWYe+oVpNQAtHHJTH2jXb99+f94B+c75c+H7vK1ef2vd7Krm/H8mr7/9/+7SV4/
v1e/GHjyUx8GnoJnPKDBb0PN/2HvvJYjN7Ys+ivzA1DAA/la3rBY9O4FQdfw3mQCXz8L7FHfbo1G
E/2upxtxJbIpNgp58uy919b5mP+08OSNBivA5ZThAOAv8M+FJ3FDA2AYK1JM/JymfNWf0rD/h2cY
HErzX6xLpYz4nZ0nHoJf3nckBWBPGQbpB0HGhafyL08khfTULdmePHeA0PASQdsfxhtoIQA8RHjO
jTp5B6ZUQGmx7tAKCJ5bGhVXnvymRfqGtazNpl9j7gdXQUyI65nHPQxe+VsT0s2lMo+QXl/c2CIL
ibWVwVZSyAqKCkJh5b31VnzrDtNjxGePKw/6hFnZSwVuGw9idbDmirjcm4UPUWymzLzlz1rJzuhx
LvUR2soIn9xnMYVv9NSl4p7TkDVGGn4krX+ymfJ0W50jWthLD/WZ8PK1Gen6BigY0qI9XCmTFQAv
TXfhmcD38iydM8bYs+ulhVVkDwciXkj8Z0bExEpvfbuGS+Cve0ymaysNti5i56K0crELKvuuEbTd
jmLVW9a6R1lbEL2KYQ+N+8mAltcVkc8yZnpwxAexu1Vjqrnq64Cl9AkyfLysEjjUVJyTWhsxiLsD
KBhHjZ+DXu4Hw6PnRqOYRo8eQgMxCR4K+xUuHQzKAArmai/vLGPv0qOcLCybB8of31j4Hr0y5UY1
rVxr9p4Ze1Dh1+bIci503Buf31AQg3bSSkgmWXbZ2OLGjfW3VE1Q/3Wc8xh+5iWnvM9N+zlhpDAr
D4LiUNgb2iTahVDekdjVHRCugq5H/SEekoxyIGhCVnBfqeaSndwxbLD1tlkGtyx6UYN2V+HiVZG6
6YS7oWfmqdeSd3RYCA2gVpZNRZhtmtcKZlt/88bxVu+hq9S2OPHXdCGJz9QgHAP7G+uQNXkFGE79
tKm8sl2ZNngx9uZuMvv5Qm87JZ6zaIryxSpc+kLbOTSiXu1e8nwZrAPzsGBp0ZUXdId+BDyRosFO
Z4NYp1nm0LvjrnQ7MihETszIunOoTgtjMExTUGMWkB1qK1grir+iRYMHbqVFPZgbi+iILtKHpOOX
NAGIWDgRpfd2bt50brUWVb7DaNGIddsV1SEIZXhp9uWDap8hqVt85p5z+gRpwUBTDrltQ5NCDB2j
61E2Yh8ALF+UXqu29sAqRe+lvexrI0HDj1gAaNU3NvOdYFFRd8TaoyAZCd2k9XQ/fPEkHKoWID2E
QWrfFoHFapkr4ENsJ+XahkcBvxXSI4QKVdigKiTrdh/DsFeILf4AcBaG76862WQHLlHeOh+Cecdh
PZeDk6ynmWOQRTzS4LngWVLHFnOsL7U4X4W+ULd+BT2jZOWnoukDI8EirkN/BT19oxOg6FMaLCZq
RNYFvR7UiYZckLxLZVOwBMVj0v3HGKpH5JMqwte1QVvZx3A/GhYeGRyQLO431cx+mCCElBU7fQ1m
iE1b92UGRSS13Vt+uwblAtRXJDAe4I0IuCONZRcUpMq31rUfytJ6ynWPxnlYJUkGMK2up2lewD44
0Ww4meh3Y890KWfYSTFjT9Iou9DhoPD/mgjzcxVI51AkByzFrLV1Y6XfRigqVeI9VHV8yhr7rWkn
UOa5d3bhrrh9SQimJlRk1ZIlREelnh4Yb7pKbny4Lfzl4eFMJklTnXefD0SMp8zqgGf60Zpb9sqd
OQHCASmSgA4oOz5MIx89D6hAG5n7lnXZIo66G0wnIDeMA+GhY9B3F+nMJSBagJgENQnAJwg5K86z
Re/5ycrODerDgRtoEaCuUtTJputFjLGG5uCZhTDMVASTHc0UBq/amF/QN36vjfATDDW+gylMbkfI
WstGslRvbVofRyRqL6zfJZcIdrt0TAI8uI9994gn4z2GLL4MTT2/owRxpxXmvWdiIA4q/jYyLwB7
l+orP/B5bci9l1e0irk9HFROh6pDc5b0AuYZzxrrUAksQg/Jmze6gWFUz8KCRSHbnDboWvFi5kRr
T/9ORF8isMVY/H9PRLev7w2jUdH9XU6Tr/wxFRlAOQmWzEwFkid/mYp8l4Hpz3/CV/05FTH6WFRt
0/vE/xDkZJb5z1SkU6VH3JabroDa6f/OVIQB739PRUA5+ekw7gFvcOap6afbhpUMBR9KJc8q87Fa
A1XasB5K1lUyQ3JUBzwmba2FcuzhWSb5sWqV2Lq67/HRpcc+GCmKCQrfuAlDd03hKWfMWHhLV4+1
I73Nr05gTrT4dJ/Srdu1xx5zUeFOx8/tnii/IHo1WPWmUkN9yRaEjGT00EVyLXWSCDF+97wzD7jp
vqVqfJD44T07Pdf444my7kTMtCQSnKfxbKJPMmKI5PezldJtGAszW45x9TPx7Hvpai/poH3K2ZY/
w0WXilTfAkjBR52jEqe6dtnpQw/uD2O/TImtDcJ9G2fTP+4hY5nNUZhhjgT0Y/kQzRkBsgJuibrr
fcUH5iBB2MCHOIXx3q2sm7p10ZKCz2kWx4or10BGsUgjFEwAk0oec6BxAWmFqHDuhjm+oCffxnCG
xJBr8BtCMX6P7DyQeSi1jptNTwyiz6JsozrMh4Tc6lVDWiLHh7Lq5gBFO0cprCxC6JzjFVMJUTCf
Ixctaba11rntilLyXRoB4ck1a9szhNwgSZorBV1nkYyc+EYM7tQpNevUzDEP2vyGZcpG8DBpzU0J
TnJhz7EQujn3TErxqrHwqdsYjXd9IMb0oQg1LzyZ7ZQ/YvwidZnlNaDpbJiWykIdHVQs14Xjf2tZ
kapoOEcdzG6mFF5M3ddLqnGm+ANflafhoKJZNbaNYOMgQFFzHqtlCzOQ1+VIjM+W5SmfzPjeR+9p
ulgRShAvKehk1Gywd9JOzJVW9c3GHP07Uci9lTtbqht7tqv06jaGca/1gbHqdWmtVTAVON+Iwed2
Xi+8lit4WxBF0vldUlBxUqj0dzwB1CDD+MaMmKmrYmRK9ntZ3RFZeGu5dB+91CRMmUSflRGp5WSP
OsKeQZ6oDChuZlWca47B+dP1u4barZ2JQnhbu3V2HkqvuEtNxMjKiCPyXdVd6XerrnMZvvqpY+51
qJpkeusDDYEZPZc0yYiCJaAyWI1a5pgP106M/sf9ni7cmG6ybtRfVVAt60g+kHSBGV7oI5llIKKh
LRDRla3tycfKlzSRRCWnOljFfldsMWSm76nltLsMOWsx1T69hpHaDXTu0pVFpGvVUJq7cB3RXEvL
CC4i9sAnfxgvW+5zUJdY8oAE45OZD81G6b7Cc0CVk+ZPJbwTMrCpo6b1v+fR9/OI9e8/nUfFfy0o
/Prb84iv/HEeQYIWroPlxxR823kv89Mt3bW5bnMcsN3GavSf8whbEml+gN4G9/hfjEnuH/iV5jSD
y9IN+/fv+be9X5eSXNKF6VC26mMvZ2wEY/3rcdT2o+MMqa9dek5O8R83QepAF0XmoiDMNovUG3fa
bLyADXXNKSSwAmPKkLgz5GzTgA+3n2bjRjVbODBglQtztnXUs8EjxukhcXzAAn2p9Po09taeKJN/
Uc3mEBuXSIBbhI7vbT7bR8Iuu1GzocTBWeLiMGFd2tJSqF+L2XwifaTHJmlowvK+KdtVm0RWt7mZ
3HtUuK6nlPG11wBk5aJ+snua0mKjgjCK8zMJK6T3UoNGik3T0JqtTDXerAE39baHRzt5ZPBoYeY8
QxLVVoGyX6ps0MbrRA7+sKEKVebIu23HG6lO9ArTn2Gj3mH4LkspNpVB2fLQjvna5PWFxGStB4cg
dKolV30ykuosMFiX0IZ6PfnoPO8z0G2BUcmHLtBdZsO92dKoBlFRQN0m7w8v7NZTRrowcvMlQeRe
KIHih3xIILAcjm7QtodaL95wLiUNDRFRqa+52nIku7ltXtdpmOL48aDOj+BWI1h9Hhk+0Cb6fFw/
FXb5QBNtea4mVV5w+o9LzRPrwgPOGFb7IithOrTbHCNNJryDcoInT+hcvFJr3JdwpPvC1vcGlylk
+nZEM1aYhFz0KT2brCU/zyMZ8fgwcPtf41qVC98ItNk4lZ/ZH96xWwCrCECAvKt3tL+U+24W8dMv
Pb/50vYN6Z8mPEd6i1VZd9uamYM7e1PptyHrlmA2CUxUTNa4BjR8DYwA107i7THObdOBfoLZZjDg
N+j8/KwE7jpljsweJBPpDGsldqzE6XGjJY8O1gWvhOnK0YbRnAUI5gaFyaHC7NBgeqBw5inuWNbM
bohk9kW4s0NiwiqhBui73HbMjcJG4c5+Cv7KCav1yWfCZW5o+Nm0MXTW1uzDAB68UJO3pefrxWyg
WM2Oja7PTlxwbvLZyzHOrg5Ls2/jXr4VWrvO27umN4wl2LvrEDtIhS2kqKYDZrwHXSRylWAcaTGQ
4NfuWBlZJ/rzXvLZY6J5Lg43XCcW9pNo9qEYsyOlxpoiAqNc65RYTe4ETJPZgLuvyWFWttqqxNwC
e+yNojTMe7PtJYzOEhtM3ciLCFtMNvtjdHPc1LNjJsYcE2ChSfKC5gc8NbRrvQ2zy4ZS8wsx+24s
DDhZxr+GIUfOzhzZ5Hsfq87QFUf+zQlBHRePN/t50i9rD+LjyM5nNvxEKF3ggtzwOcEOVDgJa7rZ
IKS1O9xPz3Q8bqQY1jjqtonlv3QYi/KeZEHJ6W4Z/bLDetSE1dM4e5HMeQSVNrVM2JR8o4a7OzuX
msZ6irEyQRxYZrO3qfTtawuzE/bRa3N2P43TcHJmP5TCGBUUjb8XTbWLsEzFfvqYmOlFqLf3XlHp
pKv0mw6TlVllpwjTFQ3Jj2lu3zazG4uW5Hc7nzmoDb2pJpcBfFvhyO6RUrxdZpJjxtrFQ3IoZ69X
hOmrDfQNPZ9s74iG5GYNFBxFecAoVmIYg0FxpOJ0poloe1rsdjrWsg7oeo7VTJIcFZRsK3JbXTZd
d7MnbQ43W5jUVMUj6zOA5djXoJK/pMCe7NrZd9jbWrs6RNjdDCt6GLC/OdjgqJnNFo4bbAYH/Ruj
XIphzpidcxMWusDEVo6lrpi9dS0mu6hMj1T7vSjMdyxqSXbg+zbKWl8mGPTsId4UGPZwjR5jDHz/
ziZfs4n9j+rBbd9hmP7f6sH8VT/mEuMP26C5wnK+pggMzj/PJQJIg3AhXxEj8xlZ/rwnz+qBSXLc
Re/7nh776Z6MhxrKERgGA5ihZ/7WPdmfReT/qKVf6gHXYz7TtqmD0dH/opYOZmHCWhfjmUR9u9G1
rFi3tk5gKrVAKxy5eSkg74ODpcYJiuokJVtFbhuOn/LcNRO2wUh3LlShavLBZMj61j7Y5EGX2Wi1
G9PoxCWAnHLHTbi6Nm2GGtfutCNvBmfbJuWTYKu+1Bz9vahtHfrLdJ3H9OkEsqS2ohogQITeGXzg
sCzKQV9gtkyXcSkhv/g85D0sd/KU5nVqadl+yNk75nCJ9CZydpoHB96xKAgw0r7wOQALB4dgekPM
9FOm9S3RYkYkguINm+t9ojR1CAV+4KkT1Vnv3RcUnBtR810CIz2Bq5Jsk0nGK8pNAylOOplncuEZ
OMXhWk9xgPXVvUjqYxy1LxBjtkmV88NO0qR6KLmwHW7mrLJOU+V/TAKZglrzeumbA7ZAqllxi9dL
rQerHjF0Ca7QaWSBGvDLTcBtzNPqU2FWT0k83+LIzcxuXaIhzvg2xealQZpsLQEaxOCDl3pi1f5V
a/nauNX6OdMfzbIIkL9lDfDHNxpO93JrEhvRhdyaenfsDbHB/vU5+X68drwBJ4vDPrHx5iTfiCLT
txXneYJzzpfVToSiXEjTfsQle+o1KwR9U60HZZLCHz8Dz11Da5jh1eEruvW33gvJYKVOsersqdwY
ekceMTOvgmZEt3HZjldJdR0106tfk3oxOjx/UVa6y8Zm2164TMxm95Ak5XWv59SxusTb5qzXVG+o
a2qoT4FhabjXSoaPLOIFNsgWtaLLVoOWg0JweVz9llVznIbdyhuJeHlZEZNBbNkCh0G3jmvxQDX1
FQXZNQqLewyk36yoROZ258SvZOFC5JLy1VMW1VAKK2KrBdMu6EobOStNKfXAPJGT7F8gtVQrZYf2
IuzCWy/weKZKy9yZec4yAGM4JZgMpThzWZlzTpKyIDUorxG+yCFZAb1MOfZFLO65a+6o/gOKEgq6
Ctp2lWmmQ10DAEGOQLAfRrdwJFsW3JDnUmn7puywXMr0nZayxyS33qpRXiVzV5UR5p+8pGCMhPlM
DbhknNLXic+cFbRE88TYXtG9/UFioVoAxKUue3yTibhUZnGLMS5Z5s6EqoF7o9WccEMZRkJLB+yC
LnCf27IGxBRR+JGkn8k01LvRDLZTLyn5yjQXU3VLO0w4azohM0oYZ2utSh8pAX00Grph3MF+bfTk
BYoi51ZX4gsjDbqIS+sE0/AhaTS8v8PBFzk9i8oBaIraUuKr7Etykyiki0Roz12NzzQpL8qGvbf0
SA5FoffUTSajTmiJ3VB5xMJz2JzS4MGrW2GfzbT0tVU9r2f+PRa/H4v/zwq5QGZfNv30N0fjrytk
x0cJ5xTDcvbV0PTjyk4vISRM/A0ONbbzIffjaPQg9EPFBznwnTfw0wrZ/QOanUMqkBL475r7bzB5
iX7/9WjEfIG93HUxekA4+uqd/mmFLChZdkPfxyAMBGbD48JBYbJUzEg6x42Fpjk7jVuTPV+WImrg
Ed/XjvFtKMldlnkuD7g4rUUepTQ06f0uLMM1z6nDthQ4Xln0XO4Q2hMveZNBw0139kIPBW/3bPZH
e7NTWqtGcRXV+b0zO6lraY2wsnGFp8B0wg7RKX7ECHyX53Fx9uaLXzlfAfv5MqgrIz7k3A8DO0yB
ColrnxjkAsTGJzdzKthNTd4VtdiBYjwmlRo3uirWWqtuaoO1eVll+0yrL4cCT6Rdbx29xTngqIvc
m4vquJI1Y3lqHWAHYWdtU8x2yO7t+8hilhdqOKw92N9LKw5QWetbNnIbBDfsyngs26aJ90PmvRgG
VYNSycthdo/6E2kljKbLXuFbLWNjpVIcAlkz76qnmyA0xp2jGfxq+ng4ZjGX1dwJL0UVH4SPVIZ1
cj112keSZGBM6trDPRtv5QTgtQ4wMWhDajNhIED3k7XpM//KCgF9WnTlUe4Is72zbmD3sA7+MP3y
m8e364FH8K3QVSOjfY24jLN05jJtex13QbQxq0oM8DqsJ7KBfXhmE9gZ2x1U1puR0NZVnRunWiVq
rddGRcxhFrZ5hreTad7ZE4GmdKALSXPusRWJQz0kmCZYxrt1QK0S1Ak/SDeYuY9t2V3JAFQfpFWM
15tSCZb6Tvwo7NbeFuAXlwHVySuR1Zsp9k5jPT6ZZb6xi+HFliOObmu4GVpsHsYkP/mT1VpZ2efg
1cYZtYC6BWO8ShT6a5BGJ9FrwcVgNW8k22gsbwwT1g2Ux0jLvTW5dOGsx6LFLjJtnJRDFShMdUmq
ExpuCDNSfeEjvS+UpFXVGtcY/8OvfHmgRxhLsbdpKrXrLERAh3p2K2iehc1tzx4L8jUVfwQ8IbhF
u0aS1u0dfsV+GGy1PJruraqE4WxC9bIq75YCxGNnjJ9ZVKcrI3VusiAKjy61VVMOOJ80mCGw36au
PUGYiT6SqRL7rvQ+1FyEhY0bgyABUm7h7XVXk6AOmlMAenHlNbI6lB4Z/pjAQJ3a67CE9RWEPost
NfIVCl50IcNxkxjBt6wKrjLs9cisnQ7gqC9BB9hQo6bsWJuFvp50t95Rj4XkPiDUFAeZmO0qDszn
pGKIdlG/LyJb00+WbJxPXQ/Su1K36Rka/BHiVhbJcvHv6fT9dPrnhXL02navf3My/bxMNjh+BEoC
wiFMCODu/7m0UYuL7ClQL3Gz0vfy42T6ot1gA+O88meJU+cb/o+4aZOZ9R1Emi9KyO/i+JwvK+Yv
lzZclHwXTkgHaAmQkV+3yeb8h1dZnV3pvLcgZ/ftwrDlA3vccMtt7lxFYFHbKT7RXwXKfASWAzNj
7U8AyzCMfJZ9fMJgcAffBpu/UYNKsAQzHzFIGGM7P+s3bhesc7gNUvK/pDwWkt4UyzKeW4cGsxi2
JET0davq18hLTnj5P70kWksAb0zumPuNitee/Y4YvA1HbAZWW+JNifN+l1TNrhHi2CaEciGZTQQ5
EHkijJQDmYfy3oNzK82oJ6lox9toMl+zBp+arj9BznM2XgDSvkLd3Da0WdBCSjOFTTsdNEDi+gBE
OlPbCStZp1FyS81MhUBnUZVeqeuCXfKipXIPljWdFvxwR4BH5nLyJR/MwigWvN/Owso+QApV29Gk
hyQOUxAiY3AHJIOPOXO0XkiaU9vklNrkYeLQTNdEfrMlZjgmc1WOKKc+9YfjIXK6YhXK7J58q3bI
iUOQLOCSE9WLwhcHY4BT6DndSRTmXR31Wzw018BtNVrtWcSPudzqk//N0HC1YZy9VhHFJbYvnpPE
uAGNwnuJXj20Uysn0GvdTXn8nJLekhnvcxZl7CJjgpCsAZNa/zYnbne0drAqi/txHbVuCJfUIgEd
PUYJP384uinIxjlaT6Kid8tqURWWzVIUemOSgh3MVjJsaBFoY2wthsv0wZ+jq3YxBqJgoomeUKBv
VGOrZelX7IwtAhahB/O96AimjdTlyISvw+4iVkae2tu87M9l6T86RsDfe9svUoNFgp5Xz3Q5XtC2
fNHEpGS00PCXjsvBaJsFNraWXDRKL10cXbUNrPISIAeJM8djZIGtFLbxpZ6Uz3VSx3DD2Z0TceVC
hrFN8oPKgcnByIZdbehXptkuK0diVjSCYxP2e7IX9702bMu2YKlWEjBWZIDzGOW9HSjddCUpvSzC
u6IPT1Mdf7YDEMtEbWVMf2JSAOXnukq2gf+q0bsq4Q4vUzHc+mm26UgaTpfdcAq0eDPqYh+q4mw4
xZU5BLvMIUrTu7Ad53z6PDr2eOXB2E4rc2pwEjLf8IDGwdLVogChHPNVwTctcqda4sjIl3JOTOb6
8C1KVUq5o+WtzRkDa6XtmwLeJksfxqPqKSCr8Vv2QmyNwtlHBsmgic1ww9LQihd+IdRWgyu0dpQV
0PwXyY3QfCjDyDChimhuCtIELp/90ePp3lCw8FFaw1M99e8oPMm6bFmmhpa8Gulkg5vrwhDp3G7N
62igg60vCAyR4emOvHsY2/yK2KCqASEWFNE5BfG8jdVXrnM/6KnvbyOMEiTmICKGsi4o2fZUM6FO
h8pY+wXIHRZUpuXvWLaNZHstbnKX7LLH/lZ8h36JRrOOverLo3RQTJ6ayTaHc9pVuzJk+KsS3NWl
ndqbOCbxRW/fq9GENy2y1bJL1cG2i37TaA0kSs09Op5Cw8IWvOgz970uy5YUmMteN7GfUs31IQFA
wzH0yT1YJQ9zWvgpxDyWW6NTvlSB/YqQZK46P4HOMkEJEdFA3/VsGiukudB1qvuaDtF7TNVpBPKh
YpFs0ko72UVzrQX9MffLlyGWLOUthmfIMa2h5s2YQ5TdUodoxMKAKVJ41WtMyM+dpcbOdGgPdA2m
uU7e6mZyGbQk7JLxOYvMb5Oh811C51s65OAAQfxMB3NUuMacZg2z4CZVc2dShJeU0lDkhcg76Wmm
r4Qq57qQfcSKm5ymcpc1S+gFD+Ol681uVUdwE6HD1uTEXEmS8pCn+9Okj2C66Vzgt1DtvIIgVVuC
97fsgXc7XhFPxB7ZPehARaDddelqcsJHs0Ge8+0kgPDKncpPheQPZ/8w2/6sSQCzxO2zsqC5EpmD
rZ2rSsJVkReVj9HE98lIh4Z3jmVxohMFr0wVnAWghjZvmc26V1fIcW0O6e3IzYcJkttZIDhAUEHu
g76ncFMWj2VWHhINyo/XT099LSJsIpQdpB3iv6Ob2pINzGcrxD0v6I1eZRdpHs3QLWtnJeU9jV5b
LfYUCx19z33uamBlJ5zyLeagg96kX9rs4mzWlkusuQEwXaOhvqmBEDBwJHQyXCAvUwKfpnvhjP5i
YAEKTaretk4sl7HdntO4v2IS2bDZfRhysJsp9W12b/IA9rZapzr7MLxY9UpQ5rrVQv6px1VlxYqM
WnHN2LomvTMdv9BlG2VnSGPJwve6AxQorqCuOGBXvc9Q39ZjySHIK4s+3CncatIg4yncJTA74Kx8
0o6hYWIQIlirtdB/u0LP95NJSd0QBDgjrTqAJmDtbTu+ivoE1j0wMRC8WAvjgBecI3dTbvKRcPwr
sxkm1pYYet1SvRdl+Eg0Ch+L9z7Z1rty9Q1EiKcyDSker9xVZ8X7IK+e9NLfWXZzKyGNWwkEJHNM
l3oWHc1GvoZ5tu0981Ok0yHs42v6nHBmdvptYc8vcc3BJwqX4t+x+/vYzf7kH3wcCKHxWPZ/M3jz
dT+rJdj7DdY+f/oDf6yELGITYCTRISyLbOJPg7dJ/yL+Cp15jVUSasvPg7cQs5BCqRIm95mr/Rsr
IcyIf10J2eypPKJ4JhoMP8pfBm/KlMC0NRSVqkbnAzbYcmFXNnALW+4ijzcRhc/s+HWpn/mP0I96
ljNUuoSoQXPo5VNMLcyJtZdatJZV3ya8OHaO6ttLmQbVR9UF+dbLUCWizEO9ZN9BnAA6PkskhsCr
tsm7c50k9rOmu93GCLA9LvkkEUkvguIyBcn74WvRzagyh4JXQzuwkJXbyXfz+84fnedsYHcjTac/
dW3kwcouSqSEXks3hoP7z+p1kC1Wa36WTp89gQwsdqEDbLqogvZ1wAW6RrmO116DZOAlkqh7NFTX
kgt2hha9obOhWg1o1yjcGlnWd6ANkX00yDHSpNqVab81vsiWdiiS6BJdtQcbw+65OXsR46IXGiq6
jdjj0qjYQ86ceAl58tIXbOKIANgskIDQkIamXX2opLZymCLio6sVjMtxz7o6GcwabwhOEUFDxbNL
n/LrqHlOueBsKjZh5DqHkSjAbSfL6dVyHCb8gtTrMZT0JMahIbZBNYRvPEkxpd3T9Bq00fQJTuCp
0epNEcYHzWOHkxvMNNJBlNYqGbKeMPpxm44+CQmDCti0VMCPOzrAFyovscDEMow3bd5ZKMdDzmCd
1o+2F7NiE8a9xQt6V2kw6SIEGgSfpiP10Lq3flTl+06j+hNbj3upRK2vcnMu/DE7p7wLyHczfWbi
TfOkdrCyjlInlZ8T39BWTTdAA9bY59F3U9fdCigKhG+tpPGxCoobbr+z1XFyX0Lee6tJeMm9Yqy7
8CjKObUMiM8GFMmlnPBatCmEtKlX2pGHF2qxN5cYh03wRBJO3hdJw6asVNRwkPC+igZ86AXeKnqm
bHugAqwFnTAkIuq4MDrtKmw4IZYhEO+dOfD6dWmeyjAkKGlds2UlaK6XrvFZ0QO/qWNUDsG7fQGh
2Pl3BWJ8fxezsfiHd3GZvf4dENXmq356E/OSNQiouX9WC/x4E5t/2OxALM8macn24Sfd2v9jbiFg
yrHYlxMiRwj/yd/NSl/XoXLhxJu5Yb/zJvb5Tn/VrSGHYemzTF7DIMd+XYHYfp40zDTj2e/C5spL
uHdiQ/OeKD8zD8hf6fNoQPnzu0E/sf4MFsM0RCxMh+nBE7K7jfQy25Jw4e1Bog1xtWvAuNcR6En9
MssicRpm56cze0At1fH1g6/bK9yq/ppqUrXTuMArEy9c20UUVlVWCvxbL7ZJIQOAI8Q7GjzlL3kU
hQc6YABFaV2yYhWIOQxRgeXG+CBMmD7zGyrIvUM/O1s7iv6Oxex2bUqplmp2wKpMP1MKVHKJTVNa
9Cj+o3gGTzCiViks5D49meb5NkkgSBjSvu6KfEXMJZyB/s+RCgPQGgPWoeqQlEx1sELTvTkJ4l/Y
Ka9CI3zS05EaS6vZ2FVx7eAaWcd6p207N5zIg/TWIYp0b51Z2dHQ6nZPAY5Y6RGdpmlW2OuBFuCd
awz+gvtTeqhzxNmgHK6nBipplSH89RpBJM1xAH6Q5jJDcZlYvHqHkd+O1nNmxbKyVpi6jXPb0tQ3
erLa11F7oFjhpa483MUZeHqkoWRthJhlwnrqZjBrtGbsbFBFU30TuMYusTUqhZsQ59CwzbsUWuzU
V69Em5OT6uxPChlgseuU1eUOa17Az3DHwltSddfEHq1FqtTWHLIH8yt2BeA0XiD6nIfauCpNCCxh
S2Usw2Wl6VvFW3gBVWMdgLhnhZsSlxrskDggF3KvyI+tZXw6TtlvWlfeDuhAqEVkNOmPtRd5rp+9
UOyKvNwOlnORKHGqpL6N4Eyvpyw0lm7gXo0BEncYn/Mp7ig0I74I0g2laTw5XIerVLv3LYrd2erg
VOz5J33wkpvNm0VgbCUi/x147paG2Hvq4magfIXYXRHIBPc75pd1ih6xNC23f7f9qVkyl+FDRKC+
EJIzHwkqTi8Mt2aw6UeuPZUAhucZjboIQa/s/x2Mv7+MMfv+08sYeeXv9tF81Y+XMXIouXnyMr4z
l5TyMvzxMrZ45VpIqCb86a/N8g+l1EcOpRoFtKJBVh0N85eXsceL07PBh81c1t8yEbFG+eVljOiK
h3ZeiftEoC3fM+ex+SelFJJWVqUA9s7YoHiAnPlZIgHUvzdJvx5spiA9D9KdFnTcVQ3xEHSQWgLW
oCvH8d66PLv1cikW+LRXWK507MrxW6/p+3aoL3D2hsvGwfYb1wMRsaHbpJbxIj0VbltTtse8rvf1
wFAyxWer0/aQg050CCyMpqXqiDZo+Oxczb3W3xUxqUbGRs8ifSDdcllq0xWdG8Eyi+WNaXXPrB0w
OqUFdTGawUdFu9OimLbfIWlpIYw3YeAes+Qpi8cXGdLMkDjJTduAFmrqdmnkzjHXayRdEhdjWZon
vbLPEc0cOELs40SH2lD0R78NPiohj7GJw4id67Wt4KqGRXCSNldldNlnNKA15VjGKxrrf7N3Hr2R
W2sa/ivG7NlgDgPMAFNRpRxb6t4QpcScM3/9PEfBVqjusW9pUQPc8sKwJZGswxO+8AZB27FnY1V+
D1T53qPMDplZK6ZIXFz1lkQJruWLQCiJIvtoiD1/rvAdXDk6CsZ8DcSqWrQunpngyJOprxbGMsVA
1O0pQpd2csXZeFI13c/ExBA6stTD3i6WtR5he5IkQlNaWdgwZQvXOIlURHqMbtxrOkUGo+lgDeos
BKIJ+tFSrm0g03Z4liZ4YrVpf2hX42FX2ejru/lN4EMdJTpHKBo2bVGR30RRfWOM3QEUqnJSV8lj
ZpdHiI96UA9p6/q4n6bIJVEWRma6Vvcq16GtUXiXalxi6+kLlTwIl52JpyO65/epZ1147rBsIlR6
kgxx3kx9cnJ76PX8YCT+N8P6mv+3l2b0r/XWtulABBXo5PqUgn586PTJpXmYKbhpOohnmQQ3M19z
fWo91SMk473QKhHqo2JSN6WHak90pDTFPM/ArMgRvMxWqi6UtlyGRvRDH5Sl47Ep57ZBtwNMf52B
FUrT5KwJffC8FRIS9Qg2yAVQ61s5rHHHnkZjeZQ7iGKGCagkCrJL1csOIiw/YwfwZ0RAokfdfujX
4dQvh+PSYex196AGf4CjTWANdw3E8Ws/rdHW9ZwEl/Ustc7VXLY1b2KXiXQm505xXg2iAIKn66LW
5EUk+eakUd1HVJQfXAMAn5/RHJILa99K+++VWd7WEflanmVnnFtLyY/OFDACNopuU1pfs7y3oO5Y
LTwvGbsFoz5WtFjny+V0jOmhan2IhGevz3EW7iDRWFgVI0c6zaF41lgpaeaw7k11Bt7uJ7TQuewM
V7xon7hGWg2BdJgW/tKPpFUK8AztmqkXon+IdHiYDOiJpWhUQdUe9BHJgfpaKUpsWgdvpib9ok3I
KbSA3CYoIkq6qmC7LzsK6Eme8EK+10LftW+E9Nu0BSIcSC7cudSaDUk18wPnJgHVBGzBP2xzB5uq
InAWfWLi2hKle2RlxzQ07iqM5mSA1ENvYeJEgIQPzhEUslVXkvYlqkzRu+t4twbWg81eU5V3Tdme
0HSfVaF+KQfAspwBW/HIMiH4wXCNWIUy7a2iF9i8SL4wGvehwI4XDX4SQ8ezp5XV7ike9USpwD0Q
B1hXHvHXQjY/DMCP2EE79fXmqLPSgx49tUkSxVPds3+gbzapTXsPRAMNQnnpWA0u8u21rOYrV+8X
Zku8F4Ux+1+fSpPczM61Brn3YCwRvfTQ4A/3hDVNHrTHrjleUgefFGp95qrNflm02FsgJdY7w2wc
1YVplnMNeVJq5e0Mcf2RXVhbOEZ9QIq9sCkVTB263EUu38ZupVKsbn5qOEJNqVVoWOZ6p4qAMHre
mTLah7hstNMR+cCFOXb7shlBxgI8EOVeOE+kQFhXGc0Sm6VTLZYQsh9OVcd+1NSRTkmO4iNZaGlL
1PqLdNpJ9clQ56e1ZV/1QeMDccNrqk8MZ96HanwTae4w8/L2MayaAxTmvsdNugrRGPAdqAFNGZw3
o0pDrXw0vGHeNEp+7Pf9ogjHq0hRhREtygGAN6vUOCslN0M5wvkhmeV1X/QHXeLTdG0SCyiDPa0V
qpKI7fk9xRvcBPW6ZhvXh5VbAGGgVYco2p5ZVdH3FqwgaAcalgtprLupjfhZLAcr2pXhJO+ScYb6
xr3eas1saLN+VmGl7IzjiVIm2pxwwZt5qrKgh4LtsIYsAzj1qVNHR1AA2S5x2JwBvrnOQvU0Q+WA
JjH0xgwNAb+6M6ji1zIlYGk4qcyeai77V2kBqE+N9KofpO95n13GgUrDONVmeRxQG8EvtY3gQuij
jesicX4MNvGspLuHRKMV7umCmGHCV4fop8DSPXgTT4G6H7wsfWdxKnLBd+1yy1SANqNkgjA0PDAB
9HoTnlQFhrODozknykUyuTEW7WkxHSfJ1FlfnldHqLvNs2m9Fxway27m72ULf9/A3evIX/47wH0O
cKnF/ibArddpUMXrptpQ++Uv/wxy5W+EsRZKOnimAG5/G+QCohcoQB0QhQEXj7LrK1Le/iZblqGi
RU6j3nz60WvFwfomFMBNh1PTdJAX/2cUPmFK/H4W2TJ+HmA+mC2k+jKP/nYWSbakRWUfZycNMdt4
FKq5ER4ruhyq85oQ9pSzpa2nSWxgIF6cNuReOtXXeakml60CDRnu3WGhlj/iIduPq/Q8SIJZLanZ
RAtR0zGMI1ZONE2tbulpCFaWVXRIOfAat4EH3AL7SdaqFeoUZnaGXPVCSSA1+yOZtetHaKVg/BnX
4VHdQGADnwJ/uU2VWxW5ElhTXrzoPCK5FR6TZbCvRmbtLTFQABQlQwcHtZxrocmpBKwEIG6+sgIr
WRYWYhZIoOqXmluDeXOTLmxmjkNN97AMg+pH2LkgGlokLxctDiA4xjcYIVSpCcPRMSpab6UB2fnJ
mY/DtB3nxZNjX0KNH9sWfPwaE5J7F6fXVs62C0F+aT+Z/uH+l7uI61gdhoChsAak/nFEfaWYqlWt
g2YP5sXoyrCftHnmwurDYVAqx1VtSectnb207VagyQB/14d9Z5w4Lcq4Nl6FZawCnQjWuZQdYFko
TbK6OWqEvaGFz6EtorDSUc7bRlqZOCFilXts44yoauUkkbo9mFLEm8meh4Oi56THCY6KTYZy+FCd
O5jGocB7RbOf0MPacxXvxIS0Nyni/CLGo9FKcUzP5WVnVOdlTaOy71ahqV8nnPcyHo+OXe3HKIZO
MWdT56HzmMIb03GF1FARpXe/1HMcBrMKddfqFGv7H+iOEJnasxx3yRT3zTFDLBCCPWjJ4xTP6Ao3
yhEyeYvcpg5hjHdJs5tmPu6VoQvzEDfLUTMWJF37ZDLL3JR/qka4sHG/zLX61suwwxSv3rMAC5UK
KkjK0sY3UxH2gQ1Omo3qA5EPj0tkqqG6TetRujJw3oxD8YaxXcFga1XhzWkHEDDw6gSuSG4QX5PG
XGWyD3VLWri5cajh8Yk8CLANKB/moBx2en/b8hBTB1/QCH9QFH32wURNSx+TSfxDqTUfdPiJZhWI
WXsoH0pLPW+d/rwcBLjea40zCzfSwOywJXX1o8FQUW2L5XBFDIR7aaBmmtCTYryMvjiRTQOVHaZU
4+irGKTkFEF7SiyVcz94/bHcIyWUaESQCNYWtTnrEepFdt6aaUXxsw4Hpp9mzvLcXZLNDQtJc/HM
iI86B1FAO2kuI4BUmoTuXaTXeBdmI16TJM4TLdGtqeTT70fsJsXUUDlydf1cxxsE31L0qsOeN071
/DTMpWWlQwGmWbuXEwlPpQrVUYLDIwyblpGLSjKhsUy+hGItuIZApULoNNUp3iuIJenVgaqRmftD
hesy5DM3OtQKaamAjkpMbFpUoZNVJHe5nvAyRmlGeg3l0YX8EdTmmRHbK9RotFmZhVhvRy4snbGv
wb4000wGgKr6Bm7eQX6YBDFIHsIXmhU3taVjuq0m7VRKxuNG0Y76KLg3NTJByVaR3EqNSS8UL9Kw
PTdT9TtSUvvwC/ZsqYkXeLrm4Iy6I8NRBiwo2QESKc6nTp42M7Vwmwmwm2IRNsNhBm4ZQ5ngJIqK
q9ZsMCb1+0vPNJjvCgaDSAm1dnTixgwNkGpcMcvwikA6nSK44RBxS90hNI34wDeIKf999j+d/Qa1
oF+f/ZdlAHV/+Hzwiz/78+CnnwCjTaFFq6sObJZ31S0KW39R515OfaCWRAiORWELJRkhF/NXacvB
g4Q2A6e0Y9gyBal/0mew5PelLQPlWEO0j5m+/ItHETozb2JHYES9WRRVcpoqua4fVWqDTNcgjNQg
lA+d6oCIoTWAolF+R2fv55hhCESmdYGpFcAr63aAxjrPG2+vRHyuyIN0UttUbBvdOpZrXMNYPTGF
JujLbsbBQRrhL9Sc1BIO8bEkuZGwXK2nbNcn1VDfS6LKbDjdvc4JNvcp3zZIHgPbDA56nXAAwcgj
ifijlDNjlvnaiMOniQsYQGRgieW9lFHmKZtSCPIvxiQalrJq30q9svDR5JtQVduzrPo4HSOQSxEw
M6PofnS2dBXXQzwNI+VCM+obj8rjEuk6m81DM088Ov/ojSGc1xhROVcGb21ZYwYkhZKITcECa4GT
TIAqALlcwOAuJj54i16V9xPZeNDrZKmBx6j04ABkdzQtYRv2IDaQ4uO3nb1ELm+QGVxlPfg2lAFv
MrAeTkiVG/Fm4B+gbe5KtTopx+DaAB4S0R6aUTAFMWKYp6j3qMBRur3EDyQQgxLARKnxFkMUXFSB
dtzk0vH4hEWRA+RoBD7FwDFgFSq0oA2BXulk/VQyOqDcFXUBQ4K0APbsIPTB24YC/1J4kI+LRp7b
QGPMisZ7R0kLKa59OwMMJjvJST7oDpCuAg3+PFXxjBKxDqibUmSd+RDby8jyy1ko0Dlm6yLwKhA7
SsxPrUGFU919dwH1oIp2asrNiZxhPoO6SbEsgTX2qoooIZAglf7LpBcoIb0bIVUBHEKWpZyWqoRq
uUAVdYgayMCMfIE3whjzNkQAB8/bU+qZKy+kkmCq4RIBuauk1vccpU8n0Whe1WFBEdf7Dg/hgY6h
RJmK0NUQyKdWYKDQ9LlJQ6jvngovy8qvJYGXiqvuSnJAUPGncDMEqkoT8CpJRclANbHRUrLHpEJ9
OMjyI5K0k0iHMl4PPe0scFsNweu8F1Auq0s81kppQ7sIUEAA8QW3nVNGK/t17SL6Al3ChVoDREyL
wusGabI4uNJqJWYGAiZjrc3oRhNc1Va9TFHro5RJ/75XVBfJXqwZ8g6EHepjSRhosxHMGgQOH55D
QZAFni0QDomDgLgFT2A3UG8u6LeopynPXLvQMcYYHiO5SLC/QlPIquaagND5Pn52qEBA6H2UBc4u
t/THcpR/OADw5C4+zpFFVAUyz6gkf24O+EMPSXHuN9U61nGWCYaVnY37OhL40/IJ6YckOGRGHSLm
8KhW5U9Pag66rD6LAQliFRQtgrSejcAHNaftp4pAFCKSoU5CJNeIb8AblnX9mAtbwbjvBKPJWgdF
+ZN+Ady+DLS3KpCL2E0gs9MIgKEh2ajl6zfsugXhWYmLAeDHGkWvCS70wYwN+QDd+X7pVU2z8Md2
vxboSRUYpen3a2pRlEEFwrIuqhimJEdwpRd7ZmLO8AInc/D7i9ooKL0IMEkPbwOVJsLv1ChZdBlL
wjaR2qN+n/XucSY0KvXG7aeW5F24rn6S5c6F4+p7Wj/YUxP8qmhYnbs5rBRPKRZebcc3ZYe3gNu1
hxK5JKhpsbCN8NoywRGbbRct2FZxc1f92z4Fb9LowQLZpH029PNBz0ALywm1FLU5A/GD/6RhzFrI
AEufwt20rTQdlguYDDvd911Tn0ZFjGF9exYYSOWpYD1d7BzQnSoJ1b2Yv23bCwNty70xbW4rnHlA
OZTuRE1VH5WlQppiQfvo6MCHar8MlmBgzhBlujU11nYRY4xHkIZ0aO95wsgxPZbRQZyUWXGj2InA
VQKdTAb0GTUV5ggWazgSsmcbeSovQnq7i7jObtH/u6YdqE9J5BYIFeLCySuHFQmhttO0aFL3srcA
YcWY4oqyAkcP71eH54R+GIvGIP3U2yt/iM46zsRpLaQ6AwO8oGEZHtoOA9PNtqJZEwoMoUA25dKI
ZzkIkwHDQljeaJB6MvJMUmReGTWYfpw5jcw4RUrmoVe4XKWHN7BjiEwB4EzMJj3EAaxAR2c84vzv
J5aV7smKsqrjvIRApDbzSCCtijiMVxU6jZrKwo9T7Voa9JM6qO+7Il7gBnHFYS/jnQlcnPN/VQXe
CRn8JfoNe4jTd1ibYkpCBoPZD+AuF96SlQ4VWTjFa9ozmAJa1l3QZ9IsKTNvWgiwypDZ54qbFHMD
OxIUp+DT5XkCqS9u3JVcDmtTYjLUfqsuaNagiwg03nal/cDz1njwzTyK8JM+zHGnp96WWvlpFrUK
TX7Zm0uKcYe1E2jrOvihywE284V5Kjfm90w3AS3F/d7oaY+hjJOw1lKQU9USNEOfoqxpEY7XJqR+
GXe0eRrCGVaCwZkUo/LDrNpjR6c/NBL2I3zKru0PsLlDi3TOlMK1jF0rXuK0PAI3nBZtfhAIgA+m
5cthxGC+0QQJV472Qq/upyh4ct7V1P8K1U2nmYAGwYu59z0JmLbtlYtW0WSEItt2lslYmEfAhQfJ
vKZEr0wwwjCmSSFd+mV3BUkEhlXgTLMuPmwqxZh4jY2kJExjCh7+RW3idUo0v2q8ppomMsrBaXPq
xUj7aFVNTpNLDUkc60mjadh7UjxTo3QlETmxIEOZ6jIOWV4iBIRZ9qXPERLuFabcTQWsv4N9J+Xm
oynTBIQpNrMSQddzokdLEO1ggt61Q3ngcJLjNGLcVa21LGws31NP2XdTDCecsUUI2YyuvSTBDqMv
1alNVhJKCX3EW8wuDgkMdBDNOFkqTbifG6TYeROGx2qAwkeBJadtRz88yaB90IWXSgk0Nm+kcyuh
daGiAqI73XVPzDUx/RH+Yp6l86LGkXowaDslUcHXQc4QNF2pz+k9HdhQ3Gx7EI0+jGhZd49ga2hd
0U2dw3NZoBR4k7csXb9UzhDZFMmidqSZQS2kYLDVjvIL4OTG1ECcgvCyZ58u06NeL3F7N/V9xa7v
aMfQCg3q66KHDZ408hWG2fv9EF+qOAnPuoot1ZJvW0HCsCkSg7i1ulkWN4d5VS5SubcnVFNIXHMZ
GTgzfHCIjf0WRVM8fB/GpNwfnTQUNqwrnCpuAvRsa7BreQtJsyLKsyK2PoyRm6nvdNYyo7U7Kxpr
Kfflo+kT0llZj3wwMV8bkiPTzaX8s3JdUOVRunbt6DasmxNdL/YRS1JmHv0jXOM4KTUo7YV13vvK
vDdAYbhFdtFXzl6uI2hPoauQw9MaTSYYsCC1NZ9Gl5DRbg/LPlshQDmNDbnF3z5U8Cz1LDU6i9PR
vBmywLSPC4lWwRkS+Xk7G2wT0mMuPXsI/Fvj3aAe/JsctInX5cOGFJS/ek1BFQshOITeNEARwvee
LPAVYIH9t2Fpsg0fTojHvcEda+Y3AiKRbAoAxDMX8LX2LHwtAcJZVK11hOCBJP8DtBs4ig+1Z24M
rhm1ZoFuJhv90MGg2igXAIWaY7S0MegImp9AKHEfikB8ym08G8pYUKgQTsrcowB9jpmhdNW0TNvT
pMpWFlx2YjhsqZy2QLYiOABuf4RBZDeh/30hy9F9S5A4lbKWY0XqUOntVGz7CGVd2fSmSSVI8PJ1
B1pUrfQbp/CopvqOjhcFPUBHGhdYEEnzovMRfSolkLx4EAWYJRl2+jMfsqvWJ7XKahREXNP8Xhb1
KoVFXzvStZsOuNJa4KWDozbyD+ss+FllNmGvY52WmoGauGfPE74Y7OrAXKoqjoBK9iMZ5GGuh/hJ
YZcbTYu427Od7mpQ8xI3826h6yPmdyGCznoXYA0m2fe4pRkzOzYPqzq+xN8rmtpohRmRfZ4Fzj1a
EKcBQu2oPJOCyF5Yz90O8HHego5L79D5+OEW6gntyzvKGUBLotKbN2ln7VVWcurlKHr61QTPvp+x
imZqHtt4jSMtD1oju+sUB6YEGlnJUHaTnDrcbECYakHPoJwCXD/EiWu/0N1DYsPZGOQlsUS3kMsO
RRpnz1ONcySxHtH1frCS8lILPFhv4w32zclMFghpXpIjl8ak64AZqDLJGi5c5pnZVke+0z9Sjs1m
lPeXmezK06YEzZLI6rXuGed6jYwg5umXuqc+NqrZ0msXf24Qx+tac5PQqq4yGpU0X4g9mmCG1nS4
NM34R6aTaqh5A8/awE0JDYRpoQCJk8HgmWO0kK08nAAYXha1T+czyumY5rw1tG+7KbBOiiAQCIvR
XphIGC7ditCC6GmfsgT9D+qOE8Am51ZMXy6lSM1RRgvRFYkuvsly3dNaHKuQbiIzzgABPbVHJvFQ
8Q4TNffw4BsvMq/krqnNidsuXLm5GG1tP+jgdFpqDOuocOmGxpD/2ya6A4ZwY1PQQpAmv5UVfFHT
zEXwGgUgrLX3gKkgsCD5ezIy8DPJitKpLGdLk/a5IgfNtJIlZ48mBn5krf2AQfkhmWs7gT+Tzyll
rEwP6zS1QduBQwUReGMfFS/YRzVsOZKQ26pxyJRLhe7/mI+nVJ7UAz3FjhuDesdbxarjY54edde4
zpXtvJQqP/jOMLj1iVoLezkzMLSF6SZyemmR32TI4ua4kjhlXPlT8gLrlKJUAKqwCPxTrei9HwHQ
mSpmCk10X3eP8wrYSW2SJHdgtqjB+pbjXfiFTDriGP2ZHEtI3BcBqrIWoEWC+5hms21WxaqxZJfU
IehrYDmyFqPbPWhTpYvPMEnqiyWKROpN1OHHdBSnecM+E/sIPJjWnewh4EdjaygTDJ2pggmdct0o
MF9ULe9Srq24+qFi4sYJrY00HEjETPdnZAS+fiSj7IfVtNM3+b9Lts/gcLRMf3Nc/mhu1xsOy/fQ
cPg2OguX401BuOyvwxIHaHq3srCH1j7otjj8xAHCKPrwL+3d18PSxhwaNX1soNUnHdZ/VLLV5I+H
JfcAe26Ko1lIWCsfoOFxXdZyn/XySY28GMRkY2miDnagSk1Oqqfk4JvRIwP4grJR5FaLDKWRaV3p
+2VmQA4WSmaB7hiHpVA30590zjoTBWUM0+0+PyrxU81bGRcD+05pkflUkw4wdiM8druVg6B9YOXy
LGePbioMQFIHVW6rQ6sbGXw98NPLwvOQes7zO7OzD7ImvyoV5IvpLgXYfxZ3sdDVz4TCftF1e73Q
3MdN2E/PZI16a6hTi9RQp4LKPK872Z0mneQiK1E20zguQAzXa6vx7tzE7hbISctzb8iLFZxevA8y
6bxGEfTUQdJjkph0PWKNU8MdLGvmBlQtsPODEOMOp1BtkAhztPsqMM98gy5oHRCB+9FNoGqXdebk
MylUH3KUjufu6F2V7GoByPAGbvIkGZU9UCv3BBbpJPT9vciBfC9DKzHVH0nqHYSjc6kgtYLhpihH
q/JlboVYtvASah/VsNgld1RrYz00FdLYVnUDIQgAVg6cpODg6HT51I51Zea7wVngkCNLSYe8yDDI
eFun+aNc5iCDRMczOGiHzFtpYXXemOAHe4LwyViSkGESNgnNmGglj2cW5TLMRCUQbqmjWhRv67iK
0HFBODRIK/vEUfNhiWO0OmnNcIVJqnPkVeWDWiBK54yWdyaJ4toYGFgXtNFxMaiPMcBrcwJdTJ75
oeoco2DuTSFR0jeLDG9WG0m0SNkM970oO0HLjc0/tk86SvRT04Tk4w0URyO6ZxWGj02pHsOIScm3
R9CSATI6SpOBCzKkZdiTaJLz/zRz/ztmsA3iTM4Uxdp0xn7JuHkMbpyGGVVD+A8B4Fg3u02QVKEd
h1xfKp0pdv6oYy/V+P2yKXp7mkZmOZXrUluZGJnkZrLf18Zc97STQYlOiAz6qROThspZeC137pWR
IBGKfQ8mVZJ1VdaewWOrh26uVvT5qNQWRYJUqyyfJ0O9L+NiW0TheRAgNt/EPzq5vIVqkeGFikbF
QE3CLqNmVkLAnGRySqmHwTV0ab+NNX1pyvRSGmTZybWtQ5R17mx11GZVPVznmgoLT8kXecXJl9Vj
MRv6dhW5o0zfWT7u4u7WF7p5plDQS008PzM1v9GQNnTAaZmI7YVCdc9Gfq+Wu4VVinquUOYDSZ/B
FWgOeqHaNwj9vnQw7msBfy2Q2UiQ+CtccvxAqP5FqroM/eqnjRwgONorBXlARarOeD6UonR0kBAQ
LIWSIA8888a2QxU+OrJBP6JOJJ9XjvZzEDqEsN7iaSC0CaVokFaZ0CtMKaS1CBjqjfTgI2homygb
5si720BI0Tt0hfLhWKKBmFj6vHSLZhYKfcQEocRQpoxtQ28kVqvgZGToKWIlDzlYaCyqiC2CVwNg
KPQXXUQDETcEgoH6Bp6i8h0SIi+ubf8P0tKXRxSuYPMnU7Cz5qEczh8qYqPqNV8TPz3NKJhfZv/a
L/3+Qn9gtUGH9HLIsSNb36PThVx3XQZ3tUhPn362uv+v/3g+ueWPie7Tgz099W+vE6+5R3PPHTSy
WcRIdfqaWH3y4fCOM2iLzz+WFE5wqAKcmio5MEn1mzH61Sj8/gs+D+fvf+e3D/9xED6FL//KIJBG
G2T65O7iw7B+GgQbhR0IbrswCG8nAoQzgGnvqh1/5/vzBf+aA0jo8YphSqOULz686Xdfn5IH7SZM
YGnZPn12YRA+LQcxgf+FkRDv+u1QAOWzoY1pz98Ujsy7oVDVbyq4Q0tADndyNSg88T+eDe/HQP+G
4ByMTZ2pJT4ftwTF/oZrAVBKQd98ni47ORQiEdhyKOxvqAuQM/xqd2RlWHxgJYED2clBUHh7Ww4C
phgCdANO+ul1f9oeVBkJNPB47A47OgjikbccBFsw7gAyCGjR+x1BZgqoqqOhYb3Lq0HbfmOgKE6f
VhfS4E8fDsP3Q6F8Ux2stxzneabsasTwyfHs75yY7/dIiO0gyZn0FOLF59M5AULdEf8QWu3yrBCi
hFuvDKQRVYX29vOsEAP1LoKUv1Eacggyn+tMuxdBivbJ1oOAQpLjoH/wPB8+npnEDWTOsHVf9uPd
GwTBb9hyECxYGaLIhhzP0+fToiB4wtaAZbGrO8PLCXbX/6f3kP2Z6f2jhIpNUjCzDYqeT58NM4F+
In1AEVcx4Ls3E+TnWGabQXC+qWLFEzj9Yk8QEk02LFD9eent4CB8LIr/4zMCUDKHJbGB2BjE59Ny
0BklXMZMdVeTCXn7mAGHTzDchvqyGkSK9vF0YMukzG8ID5On3HMnF4VQS9hye7S/vTDPXg7KT+GT
iqKZQZ9CxJi7OQjPE3WbnYFkwsIAR1bM50WxYXskyAao7+xstPC8b283CBYgEApOL/WUj4tCpJW2
wT/Krm6PnyA2/3h7BC2jabJCKvHrqhM8bHgbxk4U3Zj6HyuPQs5qyz2B8ivy/oqjMtvf74sEjDQf
LfLuXd0Mto6axQmpKVDEX6ttH9cBUbNJ+QUlx12dAsrWNSa04EXbHFPqT1NA/6bQT0cI9yWA2NWJ
8BXxIse/xhd9zpZFVvp+Ncjf+CFqnvZuVxaU7QtNBAHg5w1Qgs+h88ehUIxvrAjODqpRuxwwCRjI
lpsjCq8iMkT6dXOsAEoTAQAihZf63u5lEcpXBEyoDHBIWC+D8HGPpBpPFGFCk9zVfFJ53ry3CZiM
bxoSkTQpn+f8pxI0AZOovwA+eg7Td28mCA207ZYDp6XuPEF+X0LnT+cFltfYkOgMw46eFMr2JwVR
I5VGiswvNaZPy4FeJT+jXb2rM+Elpt9mOTDbOR+wLwfsJj7sMu+PSxUEnaEg/7erSZQA4W25HGSM
VA3kDF+aEZtiBlOoHVJq29HloG4dPGpPJVc6czj8PH2IP97NBDZG/GQtG0Xc5zN0V4di+8DJ+UZl
mSobMsMbh0LVKLdB3gSMuquDsH20YH3TZNwTCZQ3h0z0apHrdGjd73ZfSt3+pAClQF/+z5H4VH5l
adCNQL7/JY3fwZhh6wybIgsKWuCfYfA/fT5mEwKgTckRBPaulhlEWrzdSaExE9D7wnT7FymVAPVw
UMjsoru6MzxvWdvFDCrcTfTuXloyG2YC0hk64eOuxgxCa2XLmUDHhSqChhb95u1R7Amo3MumUHPj
Xju4J2xfc0QHGnVmEuuXwuummSBYimjcPH92dCiEDeKW84HoCO4J3amXQjzL7F34xHFJAAnNUpj9
7uR8MLYeBAqQ1JJMMH+/6EaI7VGjZ4O+3WtgtZNDIVi6W84HDdqvjH76S5nhc52B+EowlnAO2tH5
oG9fdrPIoBF+NMxfZZcKzXuBAEVLazcXxQvSaJvjUkSPbJEidHqd9O93BhAMukM5emdRTdpzFWib
QRAG6gwD4M8/T4L3g0BJSlZluhe7GjNoXxEzKIQMEBJfZsLH45IqtErwyJG6o6vh5ezaZiI8IRMs
g8bEhwOSL6+Yms3ovEyRHR0DY+uzQfTpKD2C7Hopv36KFSi6kUOgNvR8r92LHbXtUymLZqUQUSRv
fo0N3+8IaDeqMj3dFzjhDg7C9gekQRaBABuR4S/OBhCvRBBwpnZ1S9C3jho1XbxoAWP8RdRIKoWO
E3EjKL+nz47uDC9Y1G12R4JCyAEU439VdFO+PamEox26o4NgbF9pgipj0aNkB/xwRFBi4gcWvPtd
3Rf1rSMlDgcoQByE2q9A8Dg2ISiEKNCuRkr69oUFKvCaqkIFeNkSPgYLotgoouodLjFtPRPoyKAL
jL0svdrNiYOwNVAVBfHgv78Z/I1j9E+C8tQP4vu5YApjNb+JwfyrX3jl5H7++Rvk2xPf9N1vCqry
882f8XHiv//7PXP5qY725qevdbWnO738/ctX/Hzzdzd7/V6v/3MveCjX5R1CBE/U6JcHPV4ncJv/
J+Zf9+uPuD3RJHr9f5tp1n8WEX5/dbSZH14v9IaTzdH611f9zOH+exdP1vdZ+XqhNxdnC9364hPk
+zc9OMXvra89XcfrlldSvV7rzbMz37e/Prp/1adXSkmbPO8LLp7W5fqPaVbVm27Bwbb1LWYP8R/H
Wblx/DkZtr7+PP5jlpVMntdrvRl/Epatr78oH6pNVrGiXr71xZfxQ5q+XufNg3/Fct1rktssvq8/
X15AOLd+9FWSP5TBOn691F9PLyCB218eKd/Xy7y59Fes2IOHcsOYCwjR1k99EKTeho1AoIC2vvbh
OtqwhwlszRdcuqoeNo3JVyzQw6z6439S7yF+2DQyX7FEj9b3bMCv4/BmtnzFEj1a4+Cw4dpfsUTF
tfNs0+4ugDJbv9ajh/Q+uws27V5C2+QLrl/ePdy/XuivcRfsru0vnvHsr9d5c+2vWKZH2cYx+YpV
yqXrh/Jh2PDkX7FSj9f5hokuUqytB/z4oV1/jh1xMv+KJXpSrtkCXp/yzev8iiV6Gq/vHjbEjqIY
tfWwnMZNsim4E73YrS9+HhA6VsH9hpERvb2tr3+xvitJCdJ6w1kqNAG+4AbpH5MHBEE33eArlurF
WtygTNfl/caNTLQ7vuRbzIIHb9OX+IpVK77EghVwF1R3m+7xFctX3GM/WxfNptNKSGF8ySgdNkH1
x8ltUOWbvsdXLGbxPY7W9cOm63/Feub69fqPybq8XW+KGUSd+CtGintMUd3esFmL8utX3aFsxteL
/bWn6l+ysP31xpxQVA63f3pqGBuH5ksWc1BFuC01r8/5ZmC+ZC1n8XpT9CAawtsPDIFJsmnOfMn6
/b9sSH+jw/e3ajgXosyy4RwWhdath+bywV9vGhoBB9r+4r91adt2XC5/p7+//cUpECWb6nKCRbz1
yHznCs2mtSqwiVtf/UcWb9jnRW9m+0v/WsX590O+qSz7Jy7yc7H2Vd1x05+9r0WL37iLH9blf/8v
AAAA//8=</cx:binary>
              </cx:geoCache>
            </cx:geography>
          </cx:layoutPr>
        </cx:series>
        <cx:series layoutId="regionMap" hidden="1" uniqueId="{00000001-C66D-438A-ACE8-48C289CB23B4}" formatIdx="1">
          <cx:tx>
            <cx:txData>
              <cx:f>_xlchart.v5.12</cx:f>
              <cx:v>Sum of Amount</cx:v>
            </cx:txData>
          </cx:tx>
          <cx:dataId val="1"/>
          <cx:layoutPr>
            <cx:geography cultureLanguage="en-US" cultureRegion="IN" attribution="Powered by Bing">
              <cx:geoCache provider="{E9337A44-BEBE-4D9F-B70C-5C5E7DAFC167}">
                <cx:binary>7H1pb9vIsvZfCfL5pYbd7PXgzAGmSS1e5CVOMkm+ELKtcN+b66+/JdvJRJQ8VwZGeHGFowwmiKmi
S3zUtTxVXf3vh+5fD/F6Vb7rkjit/vXQ/f7e1zr/12+/VQ/+OllVkyR4KLMq+64nD1nyW/b9e/Cw
/u2xXLVB6v2GTUR+e/BXpV537//zb7ibt84us4eVDrL0tl6X/Yd1Vce6+ptrey+9Wz0mQeoElS6D
B41+f2+v4uB7VqbB6v32Nfz7+7ta63X5zs7qVPfv361THej+Y5+vf3+/dRv8/t1v49+2o9m7GJTX
9SMIW3KCLIwxwkg+vcT7d3GWei+XDfj5hGGKCJHsx6+9WiUgebhGT/qsHh/LdVXBB3v6e0d+61PA
s/jjf30GD5tnsXn6HgDx+/tPaaDXj+/u9Eqvq/fvgip7elhlb2ebD/rp7unJ/LaN33/+PfoBPKvR
T36BePxg/7dL2yj+LwifpX12BHzZRJiYYpOTZ3zlCF8kJoA8Y0IA8s9fq2d8D9VnP7pb0gdgu/X+
E0P2bpW+c4K1dwx48YQjyqnE43WL+AQxSyBh0Wfgt9F9k077Id69xQE47wqdGNh/xGAdH1dHWMkc
VjIRWDDrGVA+WskYTzDHhDPwAb8u5DdotB/o8Q0OgHkscmIgX6zL9AgI04nFLWJSwsynFxohjOTE
REKCwwbsf4X4UH3247slfQC4W+8/MWRv4hoiwiNgKyfSYpxi6yXO2lm95kQSIam06Da2h2u0H92R
/AH4jiRODOG7LM2SY9hnMSGWZJJj/rx6rdHqBfsMvpoRIsg2wodrtB/hkfwBCI8kTg7heJUeI9gS
k00mJDi39ttnQNgkUlCTjHOl7FCNXkN4S/4ghLckTg1hiKjVGhK+Y6AMGRMFnPGPwHmcMUFGTExs
MrSD8pu0egXp3Xscgvau1IkhvlyVQZ5Vx7DbfAIWGXMq8P5VDVGXZIQLsOv7Mqm3aLYf8507HID4
jsyJ4f2xziASS9dHiMT4RAosCTBa+/HG5sQSGCGBwYP/GmW/Raf9SO/c4QCkd2RODOm7oIqCPqv/
eaQJmnALwbr+kTHvWHI8YRZl1GQjpN+i036kd+5wANI7MieGtLOO311lwKMfB2pKOMeQHj+9dtIr
MsEmsYAcGbEjb1JqP9a7tzgA7F2hE0N7maVQsVj3/zzYFpswzjZR+GuZFtQsINFi1pgKe4tO+7He
ucMBUO/InBjSf8R5cBRPLSYM6BCG6EvtYofjlhMOL0r5KKM+XKP9KI/kD8B4JHFqCCerx+wY1Ucx
sYCwNvGGEtkuO5oALcbSMp+jNKBCfw3F/jhYoVcA3pY/BOBtiRMD+Lpcpd4R/LJlTbgEykSw15Yw
VDUogMzMEcKHa7Qf4ZH8AQiPJE4MYSi8aciey3o4ikOWnCBiIvYcfY0N9YYYw0KYgPP2On6bVvuR
3nOPA9DeI3WaiMer8jisiQWmG+zzS8C9AzmaQEsBIpSM6hkvD/5Qtf4W862bHA76ltiJob7MHrOH
f36JQy4NfAmUp34scVjIY4dNCYZIDY1y6YMV2o/0tvgBGG8LnBi6atMG9s+jC11gG8J7U3p+xYCj
CYWyNIJ2sG0DfrBC+9HdFj8A3W2BE0N3Hq/TY/QVALrYpEjinUWLoflLIG7REStysCb7Yd0WPwDW
bYETg/Uyq979AeF1vD5GYwGZmBRjS5CXPq+xI4YGP0w2vho9syWjBfxG5fbjve8mB6C+T+zEsJ/G
75yshOz5CEZbTDiWDFpKnm223KG3IYeWm+yLPvcTjZB/k2r7cd+9xQGo7wqdGOYfawgwj+Gl2cSy
TARlylcqV1CpxHITddNRDHa4RvtxHskfAPJI4sQQBkb3OAsaA5cp2EtKJcdFjA2+kEZLKERvR2GH
6rMf3S3pA7Ddev+JIQvZKXSWlOmqfAyOgjGZIFNY0Jb90kMEK3Urj4K+bShOm5KPIH67YvvBfuU+
B8D+iuQJfgEu66B6d30fVPkxVjmdYChJI+j2fLX/gIHDhlxrz1fgjaq9/h3Yd6MDvwT7RE/sW7Bc
Pa6PQpsx6CWCzjJoN3oVfOhGgIYkNAL/cI32Yz6SPwDqkcSJIfy1vj8GLQrb6QiikGu/lKYhr94y
79A8SAVnAorT2y78UH32o7slfQC2W+8/MWQ3rXHHYFGgb4wT2GtlvuRb40QbihwUHDvjEq78Wqw8
WKH92G6LHwDutsCJoXuW5OsyWMVHyKehPx/20VFioWfbvBOa0Qk0i8Hihor15jXKp9+i2X6kd+5w
ANg7MieGN2yKXjXgi49BnW22vjLY+sxfM9bmhAlTAjE+Klu+San9WO/e4gCwd4VODO1NjrGEDdzH
iLuf+rw5lCxfiNJxdg32G7JrRCQZLew3KbUf7d1bHID2rtCJoX21yo8RgwHhDbuwCNSq9tvxDdAC
cmzoDN521Ifqsx/jLekD4N16/4kh+xnin/ooCRT08QogUEwLqO3NaxyFPXGg4MGZOYrC3qDSfnzH
NzgA4rHIiaEMszbSoIpX9TGcM58wYkJlkr0QZXsyKdPcVLb4COi3abUf6z33OADuPVKnhjj45xn0
Cj4E1UP2w3j+E2No+IQDHcahePG8rIH92M6b8YTAJB4qrBEvsnGSPzU6JCl4BfC9tzkE872CJwf7
QwljLdKj7LcUE8qhzxvo0Gfod+KyTevR5g/0p+xJu+5Wb9HtNfR37nEQ9DtSJ4b7x7W/OsZeeWJO
IIlm0LjwMg1hz3KHrAt22G6qnfAaReSH67Uf75H8AViPJP4P4Pz3Km595M1kqj/+xpq/daYYlLCg
WYxJ9HqdmiGYkwBU6fOS//G7nydPQZb7cw7aM4+2x8M8j2LbmSr2q+zWZ3z+iH//UP7PzQyzYY/V
U5RdbXq7//HZcOJp3IyEEOsZpnGsDYkUArtNORqFYG/Va/8q3XuXPaBu/Qhm5e2VOznk4/oou+Gh
xWDDeMGmqyfDa+6E3dDKD/kXk+O+bhs2bB+m0Wtob8lvgbp/HuDoN54Ywh8CoD2r4PEYjUQWbIE3
qWW9zJnauNetaBuaECwgRTEadyG8San9OO/e4gCod4VODO2vWXwMzhN2UHKY/Ahc1whhqEPCBY4Q
G4VWhyqyH9wt6QNw3Xr/iUF656+O4pYheIYNrzDb0XqtbIFhgAV0GUGXyXZgdbhG+9EdyR+A70ji
xBC+XFXV+gilZkAYmghgGtzLRBpzXImEESUMLhMoNm8jfLhG+xEeyR+A8EjixBD+CK0EMGj5n4+t
AWIOYxyhneBly+QO64FhHiBs2oBIbBviN6i0H+PxDQ4AeSxyYijPYDL1UZo9GYCMoGUAvUJzQLGC
Cwp/0GiT5OEa7cd4JH8AxCOJE0P4Jl49HGV8uphAO/Zmj8UL1bFjqdHE5JuOEvyT1/61Nehwvfbj
PJI/AOeRxInhvKkGnGeroj5WBxgYbIKhEvH02gM2lhgGi8nn5Hlkud+o3H7E993kANj3iZ0Y9st1
+QAHANj/OA0GybDJJPu5L2OHBoNwTUDHJ+J7CxSH67Uf8ZH8AWCPJE4M57tgXR6ltQC2yTITRv+J
Zxj3Rd1w0YTvwf7lfbBe+3Eefa4DcB5JnBrOTxNL1Kq8P84EC7KpKG/adV8PzpgUUIUCsvPptR2H
g0UF0v0N6r2C+t7bHAL+XsET+w4s1ymMszjOTqxNqz7gyvlLm9iYBMUWUOGcWdZmH96vQdublNqP
+u4tDkB8V+jE0L5aN6ujHJ0BRQ2GOXSNvRQ19gRuJmzIgukXI8bscI324zySPwDkkcSJIbyok/ss
ftT/fJS2IVQEzOQmu0MuYMslQzCoCJo+99jxt6i0H+SdOxwA847MiQF9uYqOUbiCA1AgmYb9z681
BQJrhihisMVq22Yfqs9+hLekD0B36/0nhuwFHIp3jH5PGG4AGzEge35pzx+3BAFXxuAadHWP3PHB
Cu3Hdlv8AHC3Bf5/oPv6CXU/j/pzVno1fTok8JdD6v7+6tPjgbMNR6Ivoc+eFpyf3fNnj7+/hyDK
gq1xMMfz5/mDmxttBU4bEuKvzfU/Fui29BqKZr+/NxACq20Br7Y5T8OicG7K+3ft+uXS5iQsOAcL
2oMJhxnA4M1TGCvtw2mGFK5IaFehHAI3xjebaKusfrpkTQSHmhiMi4X9tRzmA/88zPEmi3svS38+
nZd/v0vr5CYLUl3Bp9vMvcqf37fRF0aGg0eB5mQOc7OoiWEsB1x/WH3YLA54+/+THTVymIXmXxmR
wA5tEj0VQ2+dsaYvvjWl1SdKF7osFesNzm0vGmii3Laowk99GIVTObDGvEpLTJy0yL3OVIybzW3X
iqxf1dA5VfqO1xVDjVUXNyHOVWEJYXWOxQa3UBFHxXAGk0JKr5rr3Ij9O6F1q0qq3VClBjeZGrwh
/JhkcfOJaC/EdhyZ/Z2PRBIoHIb+LM/j6ZDpuFr0fpCrmNb8c4oao1Z9qJvPeSJFpyyaD71N0gHF
tlEVqR1Zubixoib/aiVF+NWgOV3AVDjtKdTE7jU3kSdULMJgOVSFqO3EHRLPFgFzbZnhs9QzEzux
wnppGjy54ixtPiSY+dOyjjCxA542i9pwqV3HhfiG06QbbKllNqimrFmnuAgot0MU8w8GEtlgDzoJ
FnHJh4cEG5bje6SvUrs3C1riWS1pmLuKWHWUnYnG0nNaAiCVE3RG81UHJULTqHGbKQlR7afTUPru
wKYDboYmV31rDYNcSE/A2/q89Obc1MNtVTbhN0um1a3kFZ+FMWz2V3FF/I9Jm19Jq8rbm8yAp3mT
Gl5jTr3KzBLbc7O6OPMxqt1rEeDwaxRX+GMn67j2FKujULWpGcQL00o1V4bI3fCsQGXYnSc8IO2a
tcJbS0hW5rW23Fkc+FmhAol9VRlVrxKj5E4kguqLb6G8vC4MQ9ps0OrXYzG3VsJDlvdl4PkvJ5v+
/Od/PmYJ/Pd0TuZfP9wcjPrXv+brbNPLV43ftLFcP9/111mbG0vx8+DNkf15Pl31FeP0txffZrmg
AvP3luvpCMc9RmtTuvlhtNjE3FTeN+PWoJkdgYX8xWhRSYW0BJVwhN/mvMYfRsuaUHg7OL/NASPM
lGBDfxitzZZi2OIgpQkHkDxZwR8PYgsqsNr7jNbGGm8ZLThdzoJRYdDQByQ1hFGb678YrQBWfeXH
2lrCNubEt2lUaE/bNaPReRLAlxfbqBl42Shi5rhz/LQf7urMdTw/9S6tOuSryE9tSxe2ZxbfQh4j
dNOiKvdU2PR5oaomlddJpodzz6rj4KzQPf4Ibt+gZ6gyS0NJaejrxLXc86hnpp7iKArRXcBlTC7A
XMXVg0w91i5LKy/pbZ7E84al8dptisDJ0qCO7ZqIOpyboUAzWYig+aCLXp+RGFeGGgY/Gqau2dff
BsLrSPHCNy9wLd2LsihCaadp60/9ThZ2WZR6Wpt9cEF1Ty5dd8hrFUpXwmaX1JeKFG47zKENY7Cj
1K9vfExXfZ9+45H3EDKSTKHrJrFzRte5TtZMZkirJinIY6sDW5ipjQuvPUsHk850ZNTfWuYx1WAz
COw2qpEtZBsqOKRX/ImMIHdk1LoPXcCaRWWl+Mw3XP/SiHCyiFDJr3hRd2dDnhdzQpvMLhtY1kmU
djYVua86mPmrZOMuAdzcYVrYVVu5jtDJhahlZlO35Mue0uEsIrGvAixjRaQ/50GRqNLDkbJ6EdpZ
VaeKp5GTC7kWxDfmohkWMZLXVhiwee+2WhlVEinPLYmqSPeF+MR1onZoFLjbeYZkB9MbO1v7ZXsV
WZ22Td/vbBnTzimhrjINjRxfm14U3RkttT6kjKXr0CTleVIE6Z9hQ0o7CIrHtG/Ci/9arad4a5Ps
vm61NjsMdw3WU1fQi8GCDt7NQVZPR2fADovN4Rg/DBZcgiMUIMwyEcRZ0Kj/l8GCoicjYEe4JU1g
RzlI/TBYsKUaWBS4AjNOnmzgW6IsKLOMDBbEcdAmQZ6GzmIg58HW/mqwyqJK4CuPh+s8rxKFsCaq
lJGvctp/QmExd33xQFpUOG5e35u1+y1gnafMjlxU1I2dIjI+yaZwTNov6QBmiupkht1YK9MLrlkQ
z3pX3Jixh+wA1XhatOY86uSytehllmRz4clFHeLr0EyJEmyI7NJLYd2y9o7RrJ5pC60Nll5AdSi3
o4Z4S86iXBl55CpR0GmPNVWFYc4TKzgzacvtHIvPPLduKhxfU6kDVZdpIy+tJv4csX7udpGleipv
49C789rITqkpnJ6GmfLizHR6TdZt5oXLYahzIIjh9/S0mQ9G6dlW7dkGQ4vEiMyZ16HScWMwd1oG
praxl5/XsPamOG9TVWMuncgv7CCmYEbje68OHN2D6nlTzeuiDCI7I+G8G3g346Y/y9poUabptPO0
tIvKd0oSozPcZxeWGQfnyKDnbtpLW5RmbrsRv2yjLLNly+4KFLBZL0ptG2kDn0KW5FrE7Cxta1Nl
g2SKVjQ+E1xesciyrTTVdqXdb5UnPoaGoGeBYS1I765NYqYqIR2YTpY4FQ1bhbO0UwYhi8x3K1VE
ifmxF7JSvKNnSZp2DvHyDwjFiw4O9bN9GiHbg6DUzoLKPWNtYypkQtyVh3IWpFU9HfygnxZuTBT1
oocSpandFKixtTHgD7JAQg00mvpUBHPDRL5jaGTOmtaUkYp7nCwj5qZnrDbowhNma7eGiM5yQZ2O
E89uCLEUsJThXGc0LhZl5WXunWiFcY6Y/+gZWT4VbiTPh9wPbBSXZ2XhfaxMVipT4wUxcm0nmk0r
v6bTRqSOaNLsIhXlsqqS71mXlooM7YXZNV/yqueKDcHnGhehCixp2Y2bf2kqYU55NVzWaXeZJCax
SxHeDlo0dpZ5c93SZToIWBLGZ90i0ybtsIDEA7T2yDWvvHkNTpcGYQrWP8qUjKp5yPFlzHSmTKm/
Dbl73ZjRJ9n5hUqoe+bhgs6bXicQrxfBtAyzahb46Uqa0dL3DLuLPX8KMdEyjeVCb1xby43HwA0+
ZUYPMYbh+SrE5qMV5J+bSDiGF/eqhLO7Vk1JpwYyvjZE+6rVYml1RWOjnkW3LCLfdN5cVIg/8qG6
6Gl+NSBy4QUDuK2MXndZhpdpmcxjs4inOWcXVlfaZRmaysD+h8YzawUnVn3D/GNkTEkvLvIgmMkm
rJTrB6Wd5sbHoOFI6Si+FQE3bJyVX3NDfwhZ7dqpMdz41M1sZmnHal0nCcKpYbDFULWZguyssM2y
knYZ9Sr25RL2XpzxJroOICCrCaCO2+qi4Z03j5Lhm2SNnumktJlYQEYTqtgIPVs3xWXdDmcyD+4x
zU3lIuSIpJUqD8I7HdN7WfqFU3eVr9KCf/YMndoocWERZz7kdL6eJgXYQiWHuJtXKe6Tq/963CeP
i/7W4z53Q+763I3UzyQBzhOEMB9yAPBscGAVZAI/fS6CCZ/wY7B20N/75FhfkgSYv44EgYZ9OFwU
tmZYEviGHz4XmsigTgV3hNlEcNQGpBZvSRI2zMpWkgDtaqAY/B8OzDIhTwD9fvW5TS07I89Yew3p
b8WnfuOGoaq57B2vD/xpjN0LPUSeNe3Dpok+oxoZpgNJUaDP8iEwVdeAo7ysetkO07DDephGbZ5C
stqmFqMPHWt5ouK8dIep9sqgV15XLjqGPPldmgnSd31VVeVMBxzCS7eHDNyJ86wFOwhhsTFMC+bh
IVdl1BqBGjJEgBSowd9NE+yVwxSa3hOkXGHljq4jNK/NSIh52XiEfoqR4bMZt8qzAKMcq5QRvciN
pl90Vl+H31tLdDMvFAMk7V4IlM4mM1v4UeedG66I7wM3ZY70WmSoPu+bqRGXENUnAVfSh6jETIxQ
NbSk9w2FlTcMiTXXZm/4ihYemdPe/85ag6gkFd/DFNyMTjzIJHK4lhthoIymLucdz9oL38sriCoa
X3lBglWsC0/FpZHem5xHCiMdlU6Cm0iVpmGqmiJgX/rAXIiSQITvtukKiXgAH5B553lpxDekh9A/
7pCcizxdR3ygcyu2vGnuN2ReZTqYmlXKVOTxcEpoHd9EZl3ZhSQwf6jBKimKdiqMjCpPWGu/MrIF
LcF11k1sqcQjxbTMPK5MZtxD7OMt2BDXNpKZmPtl+Z23rjvPceArnoRN5bSlB7ZPYz7PsqQ6h26q
0MGGHy5B50R5GcvOo7axgzo0HeihBXfM2/5WSpfOW5kl06r2qcraJJpaJRGqrYHASYcS1BTWlziN
sPKK0FNlScAyttxTGQfHAU6hUHVmhXMUs+LW6wukOq/VtzyAjHfoUYHsoe+jsyrD8WwwZTetmqzd
pDr5tEO8VlVSFVO3S6MFuGffLtwwWfzXbD4Tw5AjvJ6o/LWHe9d0WiD5w3TCrhUTQ3HHhM2jFJIP
MF2/mE7BwGz9uAJSP/gVmJNtAVkM53nCXxgG7P5lOp92OJLNAHwYLAD29U2mE2oVY9PJORDMoB0Y
YoIxHZlOK2zSasi69rqLBcRPdZDPrMYPp3nY2Anv9KwyospSHSXN1zZMLvKqk3OYZMKBbwBmwO29
ynFTgT54HptC8JuopE+5zczAuADmcUVdPFzJWq9bVlRTHkaeymP3zqoNtkwbWOF9YxWzvGuKK+Cv
p6Hnf9Z+O23NNJgFUpwnGp+TEn2Puv5z6yfnnETXRVw6HOGFDPxQyTAB+5GA7QxjsClAaMdOZ5LK
9mTtK0LZOuTkU8uMb1FjrNsGggzu9ondtX2n4Nz1xyLpPRWZxpU2m9pBZdqrNoKMo5HsvvdJ5Eg4
782OeQN0Sa0Dp+6zz36S3WLmTVlWAmXTk9ouat1MvXJee0svOGO59aGo2NKK3fUQJ6pPbxjKW8cq
o6tUstnQhX8mhaVc7D74Kf3YUBdscfi990juBDG+FWXfK1GDVW+8CmJLjVVf6xwoZj+edTruVCGt
wgFm+C7xNHU0b8kCguXQtmK/nJppzcHRkMFOAjTYlRvKqaFZ5QCtvoh8UgH5as3r2gg/UBRjp8Nx
psKehAoFtHFoZljLsogCBZa9sSOB8nNI2D5kVQdEjJGZc4jTzqiJAqe0dDAjdUgXtSv76HPqGdxb
4mpI/gwragDLnBQ5PL5msDuLtarpgnaaUvG9kv6i85trX5eRbSWV5kvt6kp+K+kQPCZxxg1HIoiy
A4LcGa0YAqI+6OxqkLXt4T6d5aTNlsmAg0+QknwuddAtoC/qWxR0iU2bPLhuSYgdI6/LGe7FR5m2
Z1ZC5+DG63kMxYEFUOmfjNpFTm221rRzh3TetKn3ISFJoXiF0+sqlU5hwrO0qmbZ+X32Eb4BkBIT
ntlhEXc3aZ9VU1G3+UevaO4rOIP7gke4sVnor3MEXNJAenMaSHRliMyFJL7u4NFTZHOp60VZu+UC
lyy+K1gRXzcZTz9GuNdOjgIf0q/8Yya0ozUDorAGBs0LKIQdaaRq1wjt0KohOs/661ZL1zassrOT
KJNTGuD2QjMEeVHgsnPdm6vOze3Cbz+LnuSQsJq9yrw8dDwie4U7YpwB9d5+i8K2VelQuE4gdDrv
8ix6iCxaLeK6LdRQCPBxfrcALk9MSy0H4pSQQClGZXnbWsi99D1LLEXTX1XQw6ZkbPQ2z4ArDJOm
nHWm6ByN02ppiCFTFYpMFdFumP7XHz35Iwrx8+v+6GW/y64z2oj9dEYwkoYAO0YgSoZzGLbieGuy
mfL7VLfEwFn9FcQDW7bpOAP2DFj9zamHfwXx8HPYWQ1UEX2ahPOWIB6KamNPRGAGLWxKwNDdCI6P
jph+A+pmrAD27CZFOSHLCtduAEYvMBMKdG+Lpeq6poFCHc8fiib5NmSDP++M9I4A9awsft83wB3l
tbco3WRWwAGgSgsaOzXhV6ZGhW2EdayyvCPKzSQYOa/3ZzhntfJz78ow3MhuGl/boZtdV71+NDa8
GJXtI8mNbOpnlV1L4NQyEVx0ZIiVJcOlkRc3pZlRJ/Ot4crXrHG0C9d4Xz4aGZAMZV3eN4GeDUnU
z6FCfG90aOa3GgHj4y0411fpEEFtNPJdiLjbr8CtfIp1H9thhO4sqr94ULmZS2GIOYJY4dqDc6mn
MKNCQwQdlVPUeyvOh2xe0aZRAtZhEODrjBSx8gd8ZyJeKL8ObjtsnicmXROdzK2yXVUkuCC4B3LQ
AE5D4ItSani3XCRm+aUG5i/rauakkfclq9gXGd5bbeZAn8tDJeVDiavrcgj+pFn3EBGROFBrHhw4
0uMG/D+Gem67SPzAUKE2UjUYtTfro+CuCqyrOjeuBqtw7dAMwKFhiMRpIZKzEFWFomhDjJjkxqBt
fFFULnCfhg916A5dhD7z5qFRs1nhxUu/qM2pqLpPrDLOcVuUSnJ9LrImBFInuc57Iu0+KsRZmad4
3usW6gJh5pRB7dt5H4t5xP3SCc2kmbLG7aa0xsCrxXCV93hReu1nV3AoV9Y3zKyvzSxtbbCPxbwk
qd3BQEYFBYEzDISb6nTrKSCdesXM8gwMO7Ay2HDnsNBcu82aC+gFuPIBCnhneR+CC2UNvWk988wL
eWczHM5JmH1KNFlI1KUqGtgnHRaQlnmfIcVZwzmkhh0NOFO0ZkQ1hfRnEBV8ScMidzycn7s8/9Oo
68qJq/aTISFCAFGokcdGMbWa6K43cD+1MMsVQtn3pDISO8jyJenldUQg7tF9h5XI2su6a9ppJ7rs
mrdQ/DbCUjhhFmCgRuWi1TUQTOBgVtoFt2FWuQuhDJSvrCj8s44cHgefLI1i+AYGfAprzSGkqW2h
uZ6nlU4Vbct80SHs2lZmXvR5uyRAOjlJGFjOYBi3UD/xp31aDA7HyVWQ4lT1RsfswLJKu/OGM7fL
VlFXQHJlmXfEOjf675EJxSDDg6iEV1Or70LH9/lUkOwz0A7foUQANCkn38vB/CoreWm28VXe93cw
554DgWv4U9YDsdQnxQcfpkTEBPK4oD+D+vw5qWVslwgaHOC7FypRbWjH/juuym+eUV+0mb6Nc2Op
mzACFlY7Q9QtLdl0NjIhv6Vpi1VYg3erpd/YpdbfcyMB/qBrsRN3fBUU5TeodppA7RmQGWddoaCH
Ahx13YcKYiZhxyH5Ala3gE6MslJNzB40UC0KMRw4YJAvKqPs5l5V1zN/aM61azU2Lr0PzO9WYUAh
wiYRmemiAq7Q08iuSLFgCXMKPxig1tXdaVrUdhem07jzWyg5BHiaprSERZfBkhBsGZfAAGade5XF
VgpZgdvZ3PDuXJdcZ7m8ky5ZWF0vbJZuKmh9/MHN8yvPQ8XM0yL+UrYVpAZtc2lA4gEx62Zh0/BP
aIDRijVtNAOzSiCI8++7NGOqJgFw0uk5GPQPPcmaRWEmnQMO4DYnkMkHlDoNBUbENwMgpSsLsmuW
fXRFeu67jNhREV9WfnMbUJJCmwj0rAQWMOpZiaapF4Ns09xRForFkNb3VRbWSkIMqHCKfYjTCgMY
duM7jFgFf+GXwVxI4xbCuntmwdouYi5skgjDjjvPUynEiFcmcAyqzIov0Jfi2lr0MeQ8HVMWBrbU
FyZyMrDZNE/NWQiFjFmss/taBn9mOXyRWjed9UAiKQSQK3B3pd1aVqR0Z3ozCcOebdYE7MyyWmji
IJA5QAYCi4bG8JSaT34f3bbgE20digweTBUC0UA9GyIt+LoJHjl1CD8TcRNc5sbwP+x9WY/cuJbm
L9KFqF0vA4yk2HNf7Ey/COm0kxSphZsW6tf3J1dXXbvqdg0uBvPQmH4oo5CZEaGQKJ5zvk1zJSJ+
7bxw2ECFGRQ4GjxPJM9gkA8YdL7FQ3zHqfy+QJcC1IC/JAkInll7WHpjfwUmTd2k8XqN+g/IKu2P
eAbEyQIJKyMXjDuR+cOLanl7Mqt6DgPc+G0ffvZcdAui+Nus2n1e82cUe//SJKYvUP9PpqG3IHKf
8lUcQ8/MRcqmpWjHASKeaD7WcQhO15limKIZh4JxBDqE92YZvKoDZFOqQa57N2QPpO7ULo5ZhJ51
6XdSQiU0tWN98rV7SzwsBsumYC9E9rT0wKCy2js3lL5pnlZUAOJauDwMasDrU3k3iIkUQ+5ToPTx
u+RLtEev/xr5gMq4Su78Mfk0RMmhlu1yXGn4wf05xR5LxiIINNtlS8/2SdqO4NqMKPzBYflxcOyk
cXmhVvKamOkmj0SzWyUurPawazMX0oqnbi4Tj7/5fXAtmpmVtql5qSZ5aaYWp9rqg1sxY45hzEuA
g0dOQVo3WYh6Z0GGq6Duy4Hrdgd3yDfQFJgOM6r3EwRh5dBNUzX4rhzEuu2qyecuo6SgFIKlTnlP
oL6fdZ4PRd/k5TC3V6MhwMzGzJbUDKoKIvZokxQoUmtPIwXE1vn5c9SPd7Sd8zI0dt510sMEnOB+
CoH9L9Rrq0D0Jw+d06bb8ss5MF8l7e6WAPUcZwslhB9VAsZpVc33WU6lJ5OPxPeevDBDEehSTJ25
+EhNx6qgDd4npy85Knnh0vjdTOkBOi1d9ZSAxAv7Kl+nqFwS8Zl2HTDARQdlNiYl97o9rb/6Gb1C
YwA+FLNrQUZ+lrEmpRw5vwma4VQryAOyTLxSSMOKbuZPRGd9IUfvIe1A9wXdcIry+fOCnqtIGJBc
K4d+p2xISxdDC9UJha8DQKTIZh3thiG6ZGq4yzI3QPam2hL33QeItK7Amll2VIR7YA0vcsKtyzS5
b2mvS6yF6zBpLKZjrotRyMekwTVClFWI9nLBPq376yXS/V4n0Zlk9p13zpSksZ/VwrAHjf7zCmZz
ce1TEHldNRtsqan/dZpWLH5A2UUOmKBCKNKVBFrd+0tW+M5YbIc+BsmEf8/RG7MpAVm99N/XTp/X
HNwxIOpTEPQv0OIAZ+DPcpKiNOjyUoGtjymsTJbPQEbbBgc5pgd/0R8JQ0uXDgskd+j5Jg66uuUv
Y9qf6rqumOjf6kx85Xa8jSIFKY8lFe2WfT31qJShOjqVPiyM7Ja4o0WthsfF5EcZ5ac89jCS8zu7
hqVriCtcCIFM3e4AiV7pZTgBwirb2J+Cs+HElYqmgbhv+zV5cUOTZDfKiyf8IAa4WrksKcdYeuf/
H2fQn2fJGBLnvxs/fw6x+8149ENz+uNVv0+fP/SxeOijnwBnRIQA3vAPKBTONvBE/oZ5IoRvizP/
fQCF3INsDxgDiYTy94N7+n0A3aRmeIokYlghI00zEEz/Dov0l/kzR3QjdPhJCpksHNN/Em5gPQ1S
jeNy089hvpvmmskC0HsqSpHO033ixe7Ml6kXO98X9tUOqMciMujeTN6rzz+dvX8lfINC/FdKK8e5
yFHZ4NCNtocv4fc/6d6i3kmRs3G6CVRPbqDF7WswWkPCymWyQ15MczS+ppMEoaS7DPI2xTWw1Xo1
aQS9Qdp/y631b/EebMQO2pLnFZ0lObgkrr8T55Fl//dHHPwFScYRJ3hOTB5Aywzo2v/TETcpw7V1
9iZcYkqrZFnb5wlcXbi3qQMNMzk001WT1tAkpInDbC/88ABkyJFKT4P9xhZjsE14Mq6MbYYJXBPz
odTSsaA7OnB2J8b83AE4NBVwifyTYeoi2jledo0BnNxoNnWHv/9Wf70MiELw8ZCNFE9dAP/5J1Ai
dR6dPdmam97W+acBstqgiESApSH7cbmbF50/ypq0L3//sdta+1mqDWM2EgohVsI4s/2zHdZPVz/2
FwDBhvY3fbaSGyLYeNMbaM2ymn36+0/a8P0/fxIwF+ilYEXKIQD99ZNkH7lVaTbcZNKP3tQ86PZQ
o6cNCiGhdFBju5ah7zLgnWE8d/+nRbMtil8/HgsliBGKjfRNggyoXz8eUqqG0b5rIBgU8VvHx/hN
tNsxxGtndokehsL5uPSHuVUYq5QY0u+2zc1pzqGBXJJQ+2U480GUPO2751DLAILqzLnv4Ehl5Xtr
l5ZxPkT6GEOGPhZ/f/a20JM/H3+6bRsAloNoyy379fj9ZIz7OK69a2iku7dGWwNa0xMWQFEI8SU9
z6wRX2mWy6tlVWgQh2hpyoBM6YdN13UoHaNpGQ18+t7oMP02xZKlv1Uj6JL/tYg2+kHi/HKWf4ho
EVm8PVsVdyfsBz8vp0Rnja+ZDa95pGSdZ5XN2XpY7BLmezuNY6kxWt9PHZqZgmGKxvDbH0yg5aGN
oLAVreoeZBt3mAHamX4GDzSc0DhYiNqUBAoDoUut+rocBw5OuLEhlE41N/3NLD0DXfcagpwmOS+8
te67MphYd4wT2z4EnN5R14db/5+qG1urJxuAmqiSKcCJbFyAvSEa1xWNU8avWgiZXmt/jM4sycjV
SpcpL2efRR2CF11z8kCbdMXs0EKSGX3Cypd3aZR9HKHcxwza2XRfGzWeojoInhQjszjUqUdAyjNR
f4WFC7Rq0yvvy9ilXQUFX3ASQy9PROXtt2aSwFFk2InHJq+XFHBMRM+61iO6QCUPgFDzWzV3yy6a
tdoTspBp16J/w9A600yVU8DqXWdCXY0yv2W1R6FCIIM9otQEc9n7PCmAmbQvS+ezS6Bz+RiHNj6M
OfeCvUm69S0D47Qz/sLXPeRFdO8ti/8WmHb+MFTKuFwDCy1QT4OJgibiA26Oed45Oo3ZXg81qyCl
7o49/rTAdq4HnOhuwoBjOPfKFEMiejZg8kVkW2A1APC6g07Ejkaj8zeMP6oao/224FhJdh/aOTeH
JUyXq0Ssa1vfgyiwwDpc07pef2M1C4L11czekoKlyzW28uE9cB23IVpcoErSv7HCdmI5541aDxOY
wvrU6QbmDg5O6tFPvfDEXRhi+sE1gHZQgeXG5eqyrOrrGvXQtmJWu0QAVSt1a0l9yxQQoOEoXDqz
yi1tbq8SY0OsqLkeiJnLEbVwn4C+h/oLt06CoTKTGRZcKEy379tGg7dSKF71bsE0Xno1MOu4cDVE
lVAd112Hjnec6/3cpi3IfXStwDR62q1ltsbYMftAoCvuGHQMxWTAkd6ZBhjQbqBN9uGNU9r4lT8E
9tBAG57dxF5N63MfpjbFhNcvRq3uCB1diLlSUpZ2u9pMq9rn2oAWdW3SuaMPDZ0s48C1TQn1oGsP
ulGNV+KyBp892a2kAmAsugr/+d5ty33P4JT3kC13Xd6dQkC+7U4As35YYc8I99wbAnJhMzMpVNUs
YPZQ60n2jyjG4ZnTNRD7UeIIdjDg0HWXkWWFfJJvaF6XOSxtD7cKJJyEjGcdxoDeaR3SsYI/Bpez
SQ36k37l4fq9FWGeVBkOoKtgO2LqRPwmOtImFUkJgb0Kq2Zo6modaxEX3qxlfsfrmUdl2Ci+Fp3k
K+hlyB73RNY0xuHmqQQaztbhxBoy053IIzZDJ7l6BcmbvMfyoaEC69t4K8CWxvsC/GNwXtHgPgpu
yNo3K8a3KfLCJ9fOwXiTyNwNVZ8rex2PPUoSNRh4YAjoQJTs64aR/hUsYs/OynXtsjcziMsLXEX2
Cbxj/BYvdQdNLcHi3UO+mIY7A4EjDn4kvKsw4whTZnO9a0ijXtt5RmfBKZ8eTZzMX6Vm4XFKZ1rv
MgEnRtFnNd4nbge+7Hs9kZt1kWF0b2xMnoj18BeguE1WWuIwYU4BoNWjBlgNRX9KTXDbeGn+qYd8
EIuTc2UOaWuYuVtcBPW9r2ZcGzb3OLDBYNO9oILln8LMx+rusEvqCnAkZivws3Vwx2F8Eg9B1kNr
s0R8Hq/tYrfmk7nlLhZesuwgdcFHD8MKqf0SdHY9+CLdvvx26OBYt+OSHbmJ4h7fYlQxThUTgCjK
XEy4dWRLRXPf6xS3vB7RFVD8DntqYHt2q0jkdF+Ekvm43LNexuvOY9IUjT+qBUQjDHg7N6lg2zRw
M5X4RthAFli+0CfbvvtU4wnl52xqmqzIILLFunA0ecOIjMNYNHcPIfA4c6Foc/llkL3gjxmqBXSH
PrlROVXAhYIE3ErEmuA8QHQ9Xmo2UEyUOlUzGlwXQj6E01r6qXLvohXx3TLCVQVs003i85x01By7
2us+3Jpve0ijWkAdYG3DXRM4ZvYy6fLPng8uCzYXimE6wjbn9MwemsGaS94JHldxoAOKbS+OUI5Y
kH/S3JsoFG89bpPVq8P8FPUDUd87bMjunBEsqd287dg7Hns4owtsYzsUmVldiB6DpKzz1k6otCG0
xqlW/IvOp/zJc2jTAQdYTb5Zs8FzHSHpdGrmAG+1dIStEN/ShJ4kLgv4ErGpHIZpsteLS9tHaKhU
kaXmGHXLFB/XOcHFET4x60G2EF5f98kSXXnWj0C1qb6bLtTNkpVZDAToCZ2I+ebnPbYRbJ1mKgSD
YaTI5ylTqAJOPbYUqu0XMqxhBmEUOjD3LG3o5XgzU+sdSz1BIYiT81dGfW+CnMMk4tTALHC/GK9e
D3pUptk164hF2gSWh3eLaNf4pktk2xZKTn5yHREGMbdDd2N2M5O4anPWN1BtrSmgx8wAbycLlLnV
1AaZPqyZwuoX0ULTytXON2UtTaI+z7EjT5xprDVUuvwT1npn7vq8J9hgA5nzfdYxSCWW8TWAtCAj
oAen9DkOejVXc0xtdB3VbTY9qNrkGsUdK3onmxBXE4ODW66a0IrhKtWShXfB4kO6Dvokx/daFo9e
C+1BidKZGnsGurHRXrdtjeOHS4HuDcsEq+bF909ORbjvXZKkTRHVLL3+0Tr/p9H37rf28zeD6vv/
hS3vunnXgxk+7J99eT/b8v7Xfz/zno9J579m8/939/Zt0D8DML+ZlbdX/Q6nIFEV7AnUYRl0W3Da
/aosgzkvSvC4MD+E2/cPNCWEsMzP/RCPpcHIghHzF2EZfOrx5lD2c1xURMj8G2hK+GPc/3nmgGgN
D1PAGAvpAIyA2/MIf545BhmvIna1ufXb8EkM5jEw8aWLzL1YJIyjU8TO1EdLTqIjd45XnRA14L9k
Lu0y1oWvYM4DMD5WKNIPfrSuJZNQsM+RTQqzknvrK4ziOd6rTwdofLkkp5xCUSlZ+6hT4JZrP2QF
GZZrTwHf7HouSzi/vNJb4rpCq8V37RR4hbazuvH77imFWvk6ndb+igeBLYYkUHCOGboL2vQQmZyi
PRiA1DMGmZnun1ifhVXrdbKAOv6kZLyvM0t3RqCSp1H3HfPeJ/TKXtEG8XEIvUdvFZD5KgMrDDaG
NaZfgYXxQsWjK/UAWZQGE35FaPhtYm86LG1Oj8NQ02qeRsy+68hxRkRb9e0iqmA1cicdf5vXQW70
8rfRzmdi5VzkPr6QnuqT0dkdvNywBfc7DyYKS87wlXyJeXIafB4VuYv9Kk/jK031XdMtSxFNGVCv
hdyKRLcFfAU7svlCbJiawlJqTummUEUH/BDQObrPPfa+BP296TMUwDZsYUpiZB+oIShMOpF9mOhx
J+vB7lqheVWLmUAAnF1BWXsCjwUmD2QAz/qHRYC38teR7FSIkT0z0L8lOWapBAV0R5WdHqn1w7Im
+WcYT3gBXdEBOPDZiPQpytc34tH+0DkwaTBp8onl1RAwgXFNA86O5HEGIlwmVp1Dgu+yanXIw46X
oia9fycj2z9mtcIHg3CVYrhdI/3eDPNwCibvDgv8LR8ayDk4BekoyItW07XGDFB5WQRQaw6/L/P4
fUqd2xu7wPlusvqItvxrh1u0gH2DlaJJQBfP42McUHPpMv88cf4q1/yyKmj04oEdhtm7Us7JwviZ
v7e0JsUgaljkjbmxfMXtMz0xEBqKpdmxDzEIgeF4rNcQXFYwflZhetr8sccsHs4QikDt4pJunxlY
fGj8rJnPzpPdNNN8fcR7zldqiif0RcMAXXsCn8jWA08awwzJt4u3hK70kzqpSB19BnOqy2mFEsCY
vj+Dnl3KxUvTgrlGwUze2nJdzPBCfaipe8b0HYcyrJghU1x6R6Bb6D5lwQo+wTK0HZwUJhgaXCDZ
g1viI1ogAcusswEowoEVA09g2grGk79m/kll7JSSuj0kOJZCJaErsC3aIkPpNNyuxaD6Y2TVkXsJ
hAurxYhqOfpIj+BOi+Dl8gOw/RFLoYY3ld3oXjTGlRdtDGheDGZ6Jgu/xHo8D6EDUacfp3Qai9V0
B6j4RdEjFqDoBbmZlvG5GeIeDip210XjvYBiJIMGwHTri6nRiQlAtEU38E+AMc7R4h/hD3iy8C0W
auz9wh8GcDHtciUgzk59Pew7l5ki0Mt1rcN70bt2t8xkl0LgEYzwuDozfkQxrIKU3AIrugG0dad4
qspsMl/rOgYHL9aXlkGoG6ksA+/YfTFdivruII2yAXSELLpsHond1GLVAMuEVBPu6BjqyqQPITCK
A0icMIXHzVD9Pyn0//1KeAQw+L8u4b8lHf61hG+v+rmEw44KvRvOb/zDIfMHI0L+sT3tE65UuFOh
1fvJywrzDGB2ZIPFeAYZHg2LN/ydEcn/gTcJEBkCjG9z6uT/Tg3/F+LwCNp0CNQhxvODAPDXrzUc
+0rHcI/6t5gEm6LuVr5LyJeBohfHTQV5nk76qybDXdLMeXA1S/xcB+ltQvrbUcl9ktGHdhy/GLOW
MJXAtyXYS6/jg5LpQ9hn1xLTNQrFK0kipHksdrem4mJjbNAUirYioOMzqMgnmFnhg8j9tlSK2Mpv
5GvNmyqJg0vsOCZU9baytSB8fQHzqcpusWcW97t84SnkU83RjNAK8X59ITQ9zkw0ZSTs3ZKyV971
z2s2XOVcvcBb3EGSGnx4c/9Z6fGTIHCyRGO817m3X9P1rslFWuCbHdClj+Wcw9LYoB8JwWUWQM9O
oC0K4TkoxProkCpvrw0Ui67LPgG9XgppXXpaYfEBEBVduN8CVZ+9YzKjEJJG18fRcwcgxCcAxMUs
k4dZjg8wI+rnNnZvrQTvmkCFS5n/GarIC9QXMPT7yzUVwPNmmnq7mPdHO0EcvIzjJYrMCT7/oVB1
fHbkG7btL7Qen10Wg0iPYP9ZM6h+fbOhXeF1m0bfwxRcfB6T5x+RLVDjgZmP6j1gbYpskSnZYcA4
cuMOWTbvJFQmo8E5o7SNqtlRDseTQBCLvgEgQNiuTvlwsHETLxc7wDa1RtK3pyHL6M5u7iyM8zBq
qcHX6S5oInhijAlt/tZOaj5xGwcW6JW/dMUSzi4qO7gWK9dGiJlhSpVgg6+7UamdP4TvPdOq8Ooo
qMII0o4gGPB/s1/Nq3lP6jECrqA+oFFMgOLxyvXdWqTETQWNxUO6SndJw/TGY9DfYLvEeyCMZvDY
S7tEr322zOW0TI9yFKzMPdlUkYq/cWk+Ard8X612GEvbTxT8WAFs6NqfFlcIA1Vl7zU7PttwB0s4
xA8Qe4S5OEZMvwLVAX7qRe0urrNXFD20KlHCEakzfzNZAB12O2/qNJtXeKApIBqe0+uWejf0tZ0g
fKDnfuHfosVUgOVPQU8RjbFekr4/8EHeTyH0dDCBPcsIM3MCq2wLgSnoC42eLvlcbzEVMX6Skfkz
XdV9U7elizxzNZtX8BmwjTpvuKC4r02Ft1oKH9IiL2FekSRt4XnMlK1epmLcPG6cqQeYIuhJMHZZ
k/5m1fK89PIDT2TSZRtN2t8rJ/T7/9QVH3kBmM3+rq5sQW1/rSo/0vjffgubQgwC1ie2TGgCwcSG
mBn/qCrhP/wcdQG1JvQT/MU/J0NECYO8xET5m01pGxp/ryp4JA9GH38b5RKEEoK4/3cmQziUfuXM
8OzMH5ULSjhkkoNz/LWq5CHQOF/18a2YWnrxaKfqx2URPUSKQSMO8+Y6d5v/XMGITpu2PUU6nst4
c6mLGtRTtznX5x8mdg7X0n7ZhJMRoPMi7MhVFmP2m3mDrQjNupdzDHVb/tTS+nugbtA2WbHP1+x7
DFAKrPRMK+ga1w6DHb30y3yBz3HvZTAyIvJofLCTwQywJF/aJYeNnLN8NxMOJ/ZwXEN5mAP6oEg/
Vn7iVmgWYZvqO320oG2hOv2e1uN9E2a3K9TI8NA+Npl38Abz4tFMXvp6uCiWnzSLmhPJ55fWInbK
Y49dED+DKYDtOcvhYUJ+1SMx9BXuklOYyR3369cwx0OOkZsE/5SqC2EngJMMdsUG7Sf2IOhOtdzI
nPyiQgYUSgcXYdob1QYYIjm9Vl30Bkrw1q79h8WJhjZoKNcB+kBXS+Q3ibREKs4RyUCV7xDWQgI4
RtcewHrAnxEHAXYhdee19l4yze7dHNUlsxwCsR7DDxz7u9yhhc+QdiBJDSXWPByh1H4VDibxwUPE
S6jXPXWAo6lk7wYygNJJElc9cYfEa84tzSEOADLfS+zpswU42mj9SdYsgoXyY0ycf0xEku9qqhDw
EoNOSMmHt0B4ighdWMRGOFaaBnEIqXrKdOZdeXl7FLGG2Moc82lLDIJ7n1sJfpjCUgP9pfvi+vWc
0ehbGht40Sbk7wBSfI2wn8U0+rL4673KvKdJk9dZ1hrQAftIu8htYRP5Thp+06XuKGCRK3RETMnH
+fuSQVsHSSGUXpLueTC+O0juCijE9/DQvwOaxu+5ljApQSL5dQJZf7VA1bgJuuCot3gQRwvUz0UH
fP/k2LlNJ17HzZiXU6ddCpND6mnETBBcqSDtc8RB4MXw8mCB9o2At9ZWArl7+9zzUYNr4VEEAjB2
dJN/u+JmuEeWTnoQXjZDb2tiiJGDcxjysIwwF4Vqq9uN9G45pVBmLv4AuHjaYtsUZKuCwN4Uhc1y
6lIvhpp/aM5ZtiCHaIrn3dA0FgpW6Gj9adrPtnvPfHqrJjpgeCPX4agwhOX5vTMprUzLb1QikfRG
Ps9Z7B41YNzXnvCwCBSmvJAsmEM1IicsFqROQrHrwdkhT8EWqDZhEW7mY2iFsG6C3APt5KMlnCGh
6aIIMSAQzaSeu4Y7C+RQH6CNAzIwthjKgsZ81aN3IKEMiglW6z4ZMUnF2dlDE34mtM2qQWJgBeWh
EbKgAFv06H9GOiVF1KCF7VnaVk2n5R5ikQ4Bb6v/rkjwAqqt3ucGfzvrOTtAp4pdSbSIHuowIRqP
+4dJKGgSg+361kmHFqm+QOV/ACF00+COAmQ1njmMHWzGt/a9eE/ocAGpdGi62u6GvDUFX/X15t0p
FwasJ8xGXKG1LaURe8uZ23d9d8/iBnYtnkLjmaFzpFAtol0/NLF49SfYFj3zuIppKtpWd2CC9A5o
9LUZNcwbI2IemlRD+SqPyWg+aAgeOUbxqBDihxtWtEVwnS3dU2d4ewXN+12PM1oMUZPvuiFGy6H8
Y8ztZ5f0+zmSl7HOvi8gG4t26M5WzFBEkuWQJtHj/3QIPzqEDUz9m8lzaN/6Px51/s+syu1Vf0ye
5B9xHhICwRbkN79OnjCJ+UmGwDUEif9Q1f2uxQN6vP0p6EbMeyFCyDGU/rNHQKMB1RWBdA6qHUy5
/0aPQLJNN/MrepymW/KlHwYxhLE/UpZ+EkDBVcSh+wjcLRBVfZdy1z00RKYvQxsFZzcL8eoIxByZ
nfzr2cGECBqLVSSe1k9pPttHMIPtYV1Jc8EAVO9Sz2JFNwoybeXftFuIybQZFiF71PfI/cLrJygQ
K5gsM4wTcjl6WX5eghXiPsvskchQvDeg/w+8Rz4KKiI2QFihv3QAg8+DwvAZeRaRAJu10mSZLMGX
fcoDVbI2fHN1l55HUHt7O3jzpd9MmsB7AZ9txk30Jbdis3KOjRCg71HOGHyeYbJh0HloEabDVwuX
DuffpSNAXcH3VGpd6UfK5StbwBGvNbIHhDwD+Mo3YwfsSWsO2Bbz/R0l9MUX7tyMod5Hsr+PBwVL
qm+9g03oel7pGJ4Z89Md8NsL8ZQ5NTbKK0ShRQfR9hHY5KA+JgSTLMwl4qw6YMz1MN2vGsE6EMfB
m+DFa+HFCEwTMBIENL+BWkygucLZ8UYPlOUsQ8TKEHJrTIB4qHSWJ8XMeQz4F4ABMMW2sAkh2ovv
CHKfGFWrLZGhx3bejFiodguIqpEUxSPkWGzRUQsypLofYVJbrNS0BUwtSJryBCKnlI8C020xVHPf
lgK5VEmY3ncp6pdYlkOA5KoAU1l+FW1xVhq5VshMuhuQc+WD4y9b+N8kErCWwEJZgEysegvHSjY7
YLsFZhkTyxJqs4tBllYcI1TLJPPjxBAuYRBwAVoT6i+EFd2myOLqkck1IZuLL/m1nP0D20K71i2+
C7jqHWbR/Ypcr25FoUyQ9JVHkDuvW/aXk5VEFhgKUFutS3TBEIvfIC+sCzTseLBa5EgSQ/TGYUCy
mNoixuDyhT9RInbM/sjHgaQOrsUgTMb3KFt1SUKg7ft6WK7yuZe4K7pGXJEESMfm4RnOMq9DGOv1
ckXRiZ/+ZzP+bTMGKvY3m/HPz7z469wW4cW/78mIi95Yu23zzJHIsIUE/zG34emJKZ5ynGxSSTxk
/qe5Lf4HwXXDFAVvRxoidPOfe3L4DyBWyGLANg787t/ck4Eq/roj54jHA9GILQNTB0rDr1NbyIg3
W9dFNwzWW3OzLK8/nZb/pIN/zieOyJ+1oPgS0IGiGpEMEmLo4n79hLE2kQWWPd5AnrULAvnhZHTT
1ogo0PYDwgO0L7qpugiEAvH6EwLhjtAn7MZUAuLwEtwIc3joU330jP/ER7aPjPzmtVD3BfnVGMMe
b9BsQDvW3pKJxAIRdlaFtyDfEZmyNMCCcBLLmCEQYh8ObjXF7MenhZn6Y459dFhg5RFn16RwNzbt
NxVAmyKgANpF2NLAalHvhYMORDJm9D6ypdtbklIAjVApY7hDkBzJblMJkK7N9AtSkMMdhKUbORXN
dxx4Pwxkg90TDVsP5C2XSTdfRBBcxUFQ5XnnrmY6qWPbD0cEzq2VhlayjttDuDbXGYz3yO7pv3j+
HBckWj464d1aEDsIgFnXPRJIKyrtYwpznOfLU6gQk+B7x16OZwvzB2Zrd7+I7MxhpCroqivE9ZxV
mr7VBK0+qNIjRUc9iubNgvsDYhtt7fGxpfzWg4gVlseK1cErFF7nfEyPSOq6inoVg76ZrttwrZIu
3GmJAR+2DjSG+SferPa4ivZO14MAn8sutvFfpQps6Tx+jrzoybYE7sgVQ0a4Ro9N2A8lMwvbjVlz
ci28NjGPY8hMk4OvtnYzEV/+g73zWK7cyrbtr9wfgAJ2A+jCHMNDHnqXHQSZScJ7j6+/A5lKiUlJ
ZOjV69yI6lVEiQkcYGObteYcs9c5nMt4cGUwbDgzhw3i4pOJqc/Wh3u91NwxMo6iFY9tt5ynsX4V
5QFswSCHmzqcse3dl/O4D6FzRAPu2Nwed9kwnkZqdi2Uknk1ye4hGNwpgXnPhLwpG3GC4g8ZZvNF
6B2Ip87eSlr7WPLj0TlOW2levqWZ6c9m5DaB4WnpdFqNicXxI6wcnUIkB7iWKrMZOKEwv/AV4BpM
HsMAKPbUdskGey/Dpn6dy2RndbCOtOpL38iPkiRft+aMeZyC5jDZrmxkz0saXKa5stCUC09TLAFb
ltOUzYl5E7E1qCtMzmEc0mrN82dbQfYhwVOCA07r25owDMWxWGBmKPjjxXVi6w89OvSNhAIHANb6
9SQjRvHkIPWVxblsrD0Du9V6wL2aLE6W/dxnB4B0HKiF1vp2VlHG1+PAH1txDDtV+LEhcOhaoWfX
gfWMCnHwI8UwS2fAi8/3TeMaj9ksBbOTxEN8nJpYnNaVoFPNo8ByXCF4ktIU3ksZeTT0GsTDkux3
C1gTZPrpVWmte6e8lw/QbhF4IWbv6ubQddM5neB2j3KfertGmUhR63aHtTTxw7g/Beg1OG1aFVsF
2FSAvNFfJo4pvZ5ViB7XpnYeZ+dmJmcplsv2EjVB6AZB9dVY5rsm0J7MtEZnrsC1VXLXViSJcrV0
GqTf/eXY6lJhTAhWy/y6XMtZjmIGGQbq4mocmtFVVXGuI0ljZnGbRKfCoiB/qIqDWVMfVxVu2hwv
ix7bWbUe9Mr5JKyDHVLCtVbhVkt3miXSNjKiMzmT79NmcLVePhlt2qbFlH7Rk8Bw2rhzRysQKBXx
dAZ6bD5Xo6S6y4IAivbhmN/Q9hg3Q6xtNegdLroiy42sJfWppzRni5UeNbXapXZ7qdSCQnDbOlNO
l3IZ4dAoJs2LoPdDOv/7bB5uhVTd5Gru9jmHba9teozeVAJs5pz+ZJRF+aXQO4n5V3qF0gkvtEd4
wOU4rVYCu7GWNTNufnPY4REftoWez1um/ug+qLmC2mc3BahSWgmyfdLPTXIChxTGjiHQeGnWHkQ7
FbTSvKE0kfC/Eh0RotrW3qwHYGXS+kYE841VGMsD2vTYxYfabvD0KY45Tptupl5XyUOxLee6dEE2
104zGP1DE2fWZrJmDNW43iJWJU4J+lDwikcISlZOoyIvH8VQgQ2NN5M5+31bnsuzeZLW860MYWmI
kUyWVXTbZ+qNhbr5gHZr2JdY770yyObVn4iCVZYfMR9onjbp9UMvKsWrSpoXACNoXMQ96NZAe1An
+A2Bakx02YGoJ2Ci/Y+XZ8q/b5Z/Mg04CgqFrQZyEA6Oaz/yrZxHzXPwf2FSINdOPBTie1Sql2PT
bj6+zFpm/pvrULem60jr8y+bAFwReQq8+5hn2Vkr1FtmpQsrz78wXTZI+21ewJzthqnaZFa6a9Xo
FJOvY6nFgZnq1ICqmtjpZRT0V4JjjhahAYWWUYTBS9mLgeqmAXTUOgo5fPr41v/2zg28OuBV8JLI
4LzePiEj78u4s1NMD2zhw/lGTlCJl6cfX+Q7yvDPgzHvgexWHUsQDWCeEQP916u0+ELnPKWohS68
dSSh7zV4go4c1Kwbw8BhRRoeKEKVl4XNGLTl/WiNnApmILeBJl8uSb6JpKW/pHhsXxesSn05HGHD
AnZC7oKgHOGoUYbHmCLsFFC9GVW+G5GPmTPbxnIFL+op7TJwr2G8XeACBa0i/CiLUz/ttK8SEQYG
fG9OUTW9NpjubllrW+SOqcNSxNYmEvt6UV8oVD9NpgHHhNbyZGZn82Ji9sJxhcl8TM7kqKIaNsHw
ChWoW5GNa1uJw7ugV/KbGhkkdKjw1MiRXbWi6jifjv5QssRxVicNwkz9SlbP6WoU3rRAWFa07DSQ
n3ps3Ya5Z158tCTIXOao7OZEf8xWrX1RFYtTicbR4EMuOluPic/MM8O+9CYp3zUdLJpcmeASD09Q
E6KvM7U8WdQ5CIzoTC1XLExbb+AP2E6vTlc57TLoZwrohmU6UBf/IaL8R2sPSoH33wvjgQ9ybfnT
T4EP8Ot4CDRE9/x/3REg2pNmt7m3VEN2FBzjESFFX+ijI11pI1cRE83qrMHTmJ3xVBbk2qm5Q4t0
BizYGRf1zCitB03Hxt7mRr3pexmUoqH2YKfS3BmsYS2N6PlOZVH3RlTrntVI7EeYiOS8LNzYqK/D
HESXErUlq0GPZAwRX1HV9F0WZJ7iycYY6g5KicMoV28FbBIdd4Sn4f4VJULtxoCI0YziIbHEfgzU
b8KcaIyOTANU70Ux3QR2cmrSLKhL7VoYlKYRW/Wzeg3/5ixNous6Nq5yE0Td3D1YaYoNqyhlX9Q9
e8F6gMMIzwxRMcCgRPLkAKCGIqQniTHhVrb2qGjSgxLB367xgyIbBpa8YKeXptJX9GYry8neLgZf
LfHMRIOHikB2aYUfTMRto0I/SclWSFt3o625GtYEmXF+og/9tdaap8IUvjFzn33hpfBzcXWfmoXY
jKXuRWacuDHkPNWOL9NKSve4mHzE+L7IAPJWazFIhJxL+BgHyb7EZ/MKyJem7rxi+5JNBzrUFXCu
VfIRKPxheaFGrNW8JQVkpx4uLtrJykn76FRSAj+l9VuWMMWk+GJlKIRRuVFT6ZCzilOx31lK9jhU
LcAdp0BEruNUYtXMgnHTsbwDI668XqoTL0ulbTJahyVBAmHTbR6VcHRb6MrOoiqbBAS1MVoXgaXs
wqI7hGN9WlhgArsuw5VSjdVuzswTPRwPlQpo2CgxamlVrODrSnZRNZ5JLaeEjBaShn8GAzlgkQth
+GYKrto64hkX9F/0XWAO95UsIQiTz4TRNPDc9NMkGmnx4Tg/9Opgui2x566ZBMV2HBavYt+wQ2/W
InI2d83ALsQsOzxu6BCGoFE+Wdo++VLfi2nUyJ4Tu0oxlrDuD+1ZThrCNKwJO+dpc6ZwYvl4qfjV
uvpjpXgzM6xt4LfrkRqRhVHkzAxl+QJYepiuoLYX4QOgwI8vtBq3f12zmYOEjkxp9ayiF1pXxjfF
2rEF7pwgegBaPcNnjafWjQP1xgAXvo9KiTE3DYeqArRbKrJyZq3tRpGUQO0SAIcj/67bKtIr3vDL
qdAsWjD9nRSX56VsXmds3zj1uF2rXk9hO3lFF27yLv5SJPq9FGXVVding29E2JVyoz8YiUz/k+wb
BdkqW7xt0WnmPZ7l62rJPCopJ73W7WNNJbxj3hv48LC+HBqWbSwCh1RdaTeSI0U0UyrlPq8aP86C
/VgpTpLBS+iM/GmRZ8PFB/lYT3Zzr4a0YdRWCz95qr/WW368vrcPleL924eaCr1AEWRNR2v6Ei3P
s/WZK/STl/Zu4ZCljD1ymM7H2LoGJ+/U2u0nw+LjC7x3sOciT+VUDeejoV7AcHR4THI0ux9fZH0K
77dDAoK0YEuqGJZ4N/Qms8WvpvMrbNVVu6/dmLMnuY0n85O3of46xkm7sQ2NIC6FpXY10K56i7ev
Y07iYgyXSj2yjfnKoubdZJvAk3z8ou69Uzj3e+EOp89XsRvdTf5T5s/PfNHtTtt//IPVtc72/he/
+ay/3+ibj80eYruyQ6aRbjN4siv703W/pb+3sX0bUc5G2fKcN4pL28CJfNurSIo6Fl8/vgvj7+7i
7eh8Z1DPgjazVHjwxwfERz5N6I19YTrnLfwQb3tvuKfCy7f2EaHvrrg2djcE8mynHfOes2xpxMKM
dQCretJpv8NpfB45aIxC744myFF2562xt/flYdw1t/nm+uNbf5co9NcP690OWlLbGHpXzLh0Sqfa
tC/VprpRvNpFnu6hMvCLTX5Sbi++nvr9Hv7K5CYnYGZPkiN9czfAaep8C9y7j+/qnV3iL3cl3kkt
Y3gHjSm4q2hvO5G77PJtcINWmFSL0hEOLjgXAPUWfMlO/UIhzf/4+uvwfT+q3n5H72Ybphppbqt5
OspL6ZvjeFik9Dj0+CY+vs46q3x0nXezjgW0CBxNNh/ZU8Ow+CpPu1E8z5pfy2T1VJuPr/b3c+gf
s8P7w6SUM/kbddIfI/BPc3BVhZf/2QXenfm0iVwQkXOASo2DmlAHtE3v4yt88mLeW/dxl1gFpo/5
WFbHNk83lfqw9NYnb+Wz5/RucmuVrE0GM+mO0/pWkA4gnHX/s9/xboD15UJYU5vPxxFOXiyOWL7d
Jb/4+CKfjC7z3awkglCaKc6xGsAO1O3CT7PuXMP6aQJKSkb1OITxJ4/ub98PGZ90wy0Nbd27S9JG
14Iq7vqjnr82ySbFipGK7cc/629fz5trvPtokEK1Uo318Gjg2ZHkyzz/pKrw2QXeTYlLmk9aUtbD
UWbSphidatknj+n7+vjRh78uKG+WLUzZFilGjGPOBg5BKSfDLj3jiOCeQL7yw/PeyX8kaP3j2fid
zvDnlPrH1y/WX/3mkuQtakqnRqxRDxSGC2bVs5BrO+MT6Ij94FwsSGRYug0/dxXHupScK2xKrOoX
j/WFdsKpnSwXf+6cXeFG289u728X8rdT7vuREzejrAR8dMr5upBLTgttY18orpNude++cE5kZz68
ys8czprb+QAM75PZS12np49eyrv3PkitiGp7Zi/hDd7iITBShWMfMu+KaKNTAOHeo7oJnIKK7abZ
VlvLlT6ZoT+7BfPduidNPaC+seqO0qF0Jo/KZvINjZNnHvqXaVf5+am5RTL5Gj5q7rRNz8HlvXz8
dX0/eH3wFMx34yQdNGyJBUMTRvWmdhQnXnd1+9S9GfbTfo8jylmOJM/cy5vSyzfV1rzoHRgefrQf
nehL9slM+f1g9pf7+fNzN949Ekuy6Q0VTCm1r2/FVsCz3yyb5RS4gPM13Aeb1LX21Y6i3ilYzlvf
YndQ+N023VzH3rpJ+H1z8P/bqvt/z8GzVsv+uXV/TkUmZDD9yTP7YcJd/+qPnr35m072DEIA09KV
1TT7R89eIViO4Bs69sIy8L/ycf2Md9B+Y6HAnWtQt8PQvx6of+qotN9I0aGUjjZbM0wsbP9KR/Vu
s0t1E60v/76NzpreuvKer1QLMlZGUw7OGhs/hrZkKZLWNV1Smmr5UJgtwFppTZ/Uk+gkDuZH2JBM
i2byVRsMxZNGEuB2IspAJdcaxS+5qkkWoUEZuiTglndhM4iZ2BQZ7lER4VwkFEbAosB2+aRnQfzS
9XKAtLUwVskggttigqkRTMkGLHVS+0T5quuxRR82dZPY4mQ2yQywCZpqg962SbWq2G8nVJThMjSv
khVOjpFSYDfiYHAi1f5GYQmn6JoVI2mkomUDThVqirMTNeFJ1ivn1VISrSdjuh0vFW2hXWDvKJue
6mW2p+qyn+IA9+Vqd4UbYIB3IQVCJRr3FD/GVq6ki4TqxlUVWIeuihJXhFZBtkSrnBZt2biqNKb+
LLCxNATieGbdn09dey6lFAvGEK/srCtEFuPuBfQkMNqITqrgGs/Na6p113EmX8tCyamKIoC6kOp0
OdP0dENowiasRPRQxoNrgugI6LufDXoW0vZDdNyGiatWJt5kPM49PlR71vJrSRjjprIQpJqU2L2G
xLCi5udWmcAgSmkrgLzmqQoMjSEcg11cAcPVjHbTTVJ5JdAO2PivW3mmAm7T0atUeGwxcKtF2wwC
IcXcV/ptazM946FaGzHWhijCmNYwgRr90jgLjclHI+jX3qpkU/EpKDC7LX25T/ZEf9l38cFR1wY3
J2jtYZ38dXFP5GiUaUEC8KRRsNEgtjxFM89pnAk//bF5+e/8t0pw/nn+2/X5c5l96/46A65/93MG
VFEZyeRcIqET1EgU9hh/qJagOgIaMPC0aL9Pjj+pjgrSJOa/dc/8PXWY1/v7DKjLv6EiBaa2/qtY
IP+d2+TXYbKGi61qJdsCe2YjXlojQd/uAbt+HmuIVuMFfXA+GcguZfvJSMRa8+s2Cj2sjM9GtzHJ
MNfze3+9iCIh2UnStrrQRjuRW6QxbYqIU1ML7SKSsYp7dSmm9HIpV/7oClh7aL5TSS3ZmN0I2LV6
AqLdbSHs1PQEcGP5QoMTvOJN+5VzOmcXATyzrJTgrtk7CR5qJxMOOkNIXVZSatzuwKCg3KYeXqww
VQOqKpyPcwIdn7M5fZKgrvZVtU+gsEJbJzcqjs7DjvASNdubK6xVgdraQG+tVoxrVuvmNl7RrlJO
axA+zK5esa89/Fe857XWuvy8h1DIe7gsGG9IiKmBxmbQGZ0AeQVdypdg5cpaeUXrYmXN1kBnK+Cz
QQeFFiW9Rqdntb2Z8vOqPMG3l3uKXtwMSngSqOpts1JtVfC26cq5jebxawv4dl4JuHVSnRUrE9eu
Tc1jLTDcoGyum5hISVOHNhAC081Xqm7XapdwikN3GfoHKdE2ywiwhsZqTs+4e8VEnZH0DmDfBNhb
AO41Rwi+1cryzVaqrwDFiG8TycWU9IUfV8Tao4RFUlMt9wpmJI3X6ZSggo2RuINczW7G3K4gXaeP
0soVVlG6Ah5Kjlk3Km4kpSct8cmOrOAiUAATh91Xzl4bG1wxedaqq091SwJxcR+sTOOgJjazBHPc
rLzjDvAxSp2vlNg5DYBE7k39q7Uykgmvf7VWanKI0pPmlU0ejXjV49FFHPUS1/inFJDL0cpeVibL
LYExD2r7rKx05mYVYGgAm2ni5p4Owjm2AKv1hEO5egvfWZdk9Bogn3tbuh1CGNASMOhII2lIAQ8d
Tl3tlVR03CLQ/Eyn+TKEJqse78+2kmsVO1I64EKa7OE+lRcBaF+8Jon9xVBI5YxGVYM1gMaWII/0
rMhhXocJFF/mlVsyz64L3UASnCLVy0zTi0rAXso0fRmSbO0N1r1vjTwPzIqPxJneiAHy/5AUL7oy
ig3mw9s0zG5bQgWcSbJibwi7M8wqr51kPUoE4jgCVydHRbpbE8Egi28uolT9TiNXrVIZ/XQoGmQ2
FU/DXmylvjHCke4pqZ1OZWfpLRhTe28Q6XQBMv6mrtWdtFQvOdQFJNkZJofqG+CpdVGOQ7/vrHiT
jt2hB7F/r+udlwnMl624w7kzbedoTk5zgB6xJF01fWKDM0wQu3kB7HNvoM8mmeygQAOWbpuhf1sY
vyE+tKnUzjDv5K7ZcFwyW7fi2yQ2k6pRaT5ElvESy6BqOYfU6B+UTU6fcojmA3zdJw5hB0LAT+if
PIY9IVDMOVdNofhJpVyVirYnPfBqnk1PSOGdmqKew5hHK+dgj+HKxrgA4Xa2tKSc0IIELfCtH+De
RWbipSgufShXMPphorQNVAYLN3U1HE2z9EmYol++LB569xGtO63cxJKcQJLO5665y3Fb+4HaviDB
Byky3Uvti9EzEgdhbjQ9MXM3KEZ6+HYwYvRK+lmSfHmYzTszHKZtXUMBT8JJdckc7yryvbWHvNSl
a0CcvjkU4AKzhHnLSUu9mtGLL9q2m9nSWRnEI0vL71I0FdBhHsYxu2tr6VHOG+1S7o3lggWv3jRZ
/VSryj5qtG9TYJ3XC4WnzA69IrdQJyIN9eJ64MycZPEmX3L7RoeTdxbm0TUY+udEbaQ1WT07NMts
+lXeQTfBPwDvPXosVN7iGN1QF048W5NO+qF96DGjXVuSlm8CCdFVxf05yLSSBHMzc0AvZcJr+2o5
lzpcaiLRZm8m05JYMmgVfOXtfWC3PRlgZr7ja7a8Ous8XQxIqxRCUgK1gReZl/N2LGTip7LKXr2S
MR87foQxs5Vdmw4A3rortscuZ4ttMuiDU0oBqBRUq4tQbiqjfGiU6To0GrG39f6hXKWvdJ+DH3Gt
/1jeWcsjb07J66Jr2TrcBGFhnDRWL8rblV1kfaVaat1flLirCAdLrBvBXRvgL+kMvtn3XPz4V99q
k3/dRbBNWbnT4GmRP+kmtb53FYK2LaeOjNvxwgr8IL2rZyQ0d//ZJdZbeFOsAm+bZWOfjRcVHybM
HjjsX/Tq+v/hIjBgEZcL9ljfxVdvLtJGaYo5ZBwvtOampnogQRLZf3yJv74WHtWbS7yr83Y9MDwE
yOOFbl3nNblHnc8upDCfkvmTK70r9v54KW+utN7Jmx+TRYORi44fU1O3UgrhRupJjy+Y5n1+slBI
+viHrTf+63jDpYRXChw0Xjo0ob9ergsTdMSdMl5kBH+sKgFxE0aHOX/4fpn/njU03s8/nzWun4r/
OSmf6j4u/nrcWP/0j+OG/Nv3YrsQWBF+LbgQtbl2gLFOIFLUxToj/Cy4WL9xztCgqWA5/93u9rPg
QgHHUn7/x1ZR3b+pt1Dc/2WU0CZeRVigrDl5YLDnDPPrKAFVD0ULOuX5LHFgrhy1V2oCrQsrIWU9
Ks5jHU55ZEZHJCrbYBHGJWQEYCqhfKUF+lXa9C8lNRaizqI9cr5DZCob5BCnGAFcaVhOsgKDe6F4
i2p2BAROz3OlndLxYB3t86OqW5sgNEnDkTZg0y5JIbw15+LemDoXutWLRfRsgyAHFuQ+RdMWSVJI
oIW2N6zoriGFRNLlSwhjx35mn2TLx2lNvbQFeF9r2a6ZGWMc3hrsjSV+kZ8147Mdd2eBjdG00b5o
YbYduu6kCMSm0+zDoNfHIIqOdjlhuCfwh90Ihi8qGPVZM6n3SEl2kYJRfp5JpSnPEyU5lpLik+fs
1S3bAnl4tOP2AoT9WTjO7kA4rz7ibs3EsVErbLyvbWOrfg6C1I2QEy+29bQyjGOh3yfJsJda2yPX
+CoKl61EekVeETBcNcQ1A7AMpvg8NMxdymlEScjEafPdMrdXudU9F+pEYGNxjIL6dBCslphwMVvv
elZcM6xW493RUDByBfZeC/UrM0KPbUnVrjNpNOjZiMbLhDw714c6SJ+0Ur+yK2YoKmwr6fq8l7rT
UEWrFw77Zinc1pSuEnsCgxvcIXC+xfzuiyJWHCKbWHE4T0WBXLtmXp/FVjZuxFhPl9ncBx5Hyidz
sKnO1xNByQbZmFN1j3smIshkei4gMQCobEK59n/kWwet1SS7xC6ifVcSIX8OWm+KWTNXDhTsL3zi
ysjbn9q9sSZ9liDgHcmqrtKyq04Kgai8JTEKoZuinU3GMnjDDMQum0Df2IBdvUBbkitVUbeo3lvH
AEeWFEq7AmQBU61ppIUKzA9kAhK6CrZbt6aW9iayJDDKoP+JNI31ufZglFOwAmHMtpJcM8IZqCuG
7a3VdLKfih57QKZexhZGuYUc7DVB1ZbUG4lI1RIwHzv780U1NjqRq3WbEoWE8o+S5Eu86GcWbmRp
5O/OmjW3lf+W/BrwLg4saD9ew13L/G4k/wf5RNthtxccmNcs2KTSn0OAmyD/yImFLd57rW4fY8K6
8cYn37AoTFjS+3zNEqy9VLVewsr+UszqrUEULfcPj6sEBTqvObVahckkWrNrYVbgBEpBKg2VQr2u
8TQrPh8IvLXy8U6f5tfelPGBWyd6GaEnl3o/Jio3XlTfzrP6OAdjvcnXPF11TdYtidjF448O2U5b
X40GjRhEdmijUjyMycJTrnMCCvFqytNImC42mU2STvtAyraJbMccdIZHzm9w3TBNxLL5TEbT8wTK
xWmmnHFrCgyqg8FfZrsQGShWEHVjVeAcak3dBqX60NWxiQLQdOvW2MecGZ1exA9zqPGPSzpmWkSz
AiQ8xO9nibNtq1JIngLcm0Vwr4X14M42nD61R96YhhgZ8CjoHVZF6DI30ajlngw30p8E730Kggct
Y+cXVIHJ+NI2dUqElW2PfKJxSvZRyWeJA59sIE17zUHBbYcAugGuMAfqHIfpvN7H8SK4t+Gkstrz
KQcgMhMYYOWcfyJS/LoBfrJ80o3W4mQStelYAjvSy2DcIvl6DLuDUUQ34JdlTp+EJzYJiYz6CMt+
kk7jHoxrMadA+HSDuOLK9MixzPrriCicDXlpYeRKJWS7oUZRKiVDtNdBNkQYTp1CxoQgL8CK5gI8
Al30EuQJ8TbpfFlxzARkNGWXCEjiH52o/+5FNLYGH+9Fzp66l7+x0K9/+MdOhGQa6ooCNo5uyd/7
O38UPkmmURVFNUxb+47g+XMnYgJgBevGPuVndfNn4VMzf2NjTjEbNKutsD8X/2Yrsh5J/tyushHB
uQ8Iju6TKatYR9+pP9E5gzwT80h85UUT6j6KeO/NQ/mbQxE//c0VOBRR86WJJRv8Qvya+rsNsRhN
XOsm5rRWT05i806Sz23jstV3SnAxDsdW8T++HobVT6643tGbHb86WU2M37I/Tyo0mhbgYxs0YgmA
rAzLFjdKacG3NCoUtkbgtGIjkrkGh4KNwe/IfiBdvBBfJtVW92KF4sx1hay5BcaoWdGpUWZ3haWm
btXI3wYpfbUn6aFAo1JSrUYZTF0kCfEiQWckkFaNyEDG7enk2Ol2OpqPduaYb6AdpHETl9tgnpDE
TzG4nQaaSLHIDXHf8bU0Wjh74iuL3R31dAqP8XAq1QFvieyMPLDg54wcy2dcDFhsgiDDbC9pgGCV
iyGChYIyvpD7GMJLeCht3GmadNtIRJ8PxZdhgVttRpDjl9ZXunaLk3+rV9YJFZbJiUQ5biQQ/ltI
7WdoqZdrs5Nt5nRjbotrMAZiJ+rKTRRYTDW0r+5yoRKKoD0nWOs8C/XTjrCmI/A0Y0dhkADPXquf
U9k6FQKhtp6fVma8n9KRdmOAqSQ9zou4J8SbpEMSVB1whptGjb+SEfUtk0rDHw39bKp0yr2aN6TV
aRdAVenn/azFF/JSU0+svXjC+grVureogHVLLruhMR7aQb6vsdLreolPs1huDQIaQRTO6THui4si
7ba9NR7TJT2RS6B9U0U5LO0g79QT2W70PWXcl5nfJuZt3dHwSiQCGNW86vd9P3bbjMLTpRXX82lG
eNEGJNshy1nex3M9sq4Ao+DpiLKOuBQkl1V+EmTxRV9I1+NQUBzgtZRT5lsxzJm8+2ZGPUdUkVwC
zfXtPidlZVI8TD6ensyXnJlRisLdE6O+HZthI+uB1wkLp4nslWV5vRT6RR5AvBunllSkLB2upjm6
EoGybwAkE13xoKeFO5lGc1PJkuYCv3ottIHRZG81ouyXJcDeI+uukg4v8gjminTfWlcS0uXsPVkB
wtXoNwiJwmoQXkTxcKYbJNoZ+XaSDT9DdN9PwYE6yI48Ruy6Hc1c6UjcjKeO0p6JAoZQyD4pZsen
wQsknP5Ob2AP8IW4dVqAszMyyEijke2bjOh2NgQE5EgnabvctNUYOXPWsYsqAcXLHlt3hjWZ9W5v
qU92nzwlpnVWEjRJZCNI/bGFuBe0IzHvwWDtvk8z/130VgHSPy96Z+W38utfj97rH/1c8OAT0ElT
bbQJQOqYm950+ujnsQpoq4Ef6uY6c//Z6cOyBtDge+Kbxvn653qnK7+hfaCehmyOJRF8zL9a735t
wq3LEIQrWpAsu/xblP5+XRzqstY7K0qiixqsLR2qdCQazTDPFVDTmJdDKZAWP63KlVhIjVS2vTY2
+dDmDnb2hnO70l2POIDtV7aJu0YqtOCpSvMEgwIUEenAj26DEyVKyPUkMFai8p0WMak2tR7x7SrY
vdj6LwYRjFhibfJBiDE16RsNM6GqLhErtjXTMmfWBfcFimZnjj1ttywxaL5MZmPs6rCxiX9Zt3Si
HrPmPNRXjFlP+rnph9A+ITdbwpOXrpdejNjutv8d+t8RHavk65+H/kXW50/tX8f++lc/x/4K27dZ
nnQQiJhd1urfH5s9xj74DZPioIUSaJVz/Rz78m8rygMMI0zF34tVP8tO4BbBXeAqwLZt6et38S94
Sdp3mdwv2z2wHNjDuQu+Tr6qd3UnnQMcA3ZWzo1s7NJdPOCJra06PUtoLukLS1m03KMh4ZzWZdsx
JFkkxj+ar7Hz0EFxiNNyghfaoHHxtbK5FEO5tXUZVlfoCgijGqTRpQfjJT2WwEeDcBNZ4bmSQCUt
Y/ikePFsz1SWCfCpGBHkLN8ynePd3OM/1EGc8q2xIGpSt9HHjrNlvqPth/XPGC7iEUJqvbJSkQsc
lpWeqoJR1ZF9OD1g1ULisJ838ksMchWj4jcqLZDCVxpro07X+cpnpUbyOM7SfbMAYaXDA1ReWODK
7WMh5vkg6ekVWihakCv5dYKYgLaE/zBoX1Gr6PyH7ddmULCRw41N1Bja8cqSJcEJjCB4WTl9MOaL
iAQf2Ow4HcdmJxI78gKza7zxO53W+E6qLSJN67yKT3bffGfZKt+5tvHU5LuoGODHTkW6A8RXE1kg
ERasT5WPRGp0kHBNPiSRbCPPtB41FcygK6gsOHM4dpfRXCv8sKy5HOi1bPtqqGmdZzyqNkDxtGL5
ozpZ90IpmIJaPJQLYQhjn9K+baj7lWWb+l0fwfezSwKl7MDYApudLxmbupP0CesuFZKoFOWJnS34
0lI9PgsMGWOj3bcgmWg+Tw3CqoJZqfVq5lV8UlqwVdL+VbWpzdURseJ1Cv4dT+XzAPCc3apd+8OQ
aY5SIxOIW6ncIfx4sdn9gcAgm6yoGKoNSUKc31u3NJLswtLC1FfaFVQvzbFvK8CU9UyDPTm0xtaK
SLOZFHtL5hWzLxFbF+ZShic8OWbWYCyerNVDqM6xvAtknWcjS6sOCaUbemAiTRQTN0DODP9ckdAH
+T0mrGC1hHaW1BxGsxxxKfbNluhM8PRIWLZVJzKfl6ez6zBeY7Qr7B2jV0XStS1qKXjD8pJjcrap
ujWWpT/LkJUo2bE6jDllkDBv2AFX+gCtkl4qd1kAqS/67Jlvjgi5RJV34wKk0Y8Sa8HSo1lUTAej
SV4z+nF4MRX1khQf0pgtsz38L3tnshw3kmXRX+kfgAyjA9gGYmYEgzNFbmCURGKeHDO+vo8rS9lS
DmWWvU6zWhWTg8gIx/P77r2nC7lMXBGSpOhkeqDhPlrjendWpYUQW+XN06xheNCXEOMF27dNG0+B
M7QvWtQ855VK/npsBeNiARRVEC9JddwQ7pw+GWV1k1ID8Tr7i7sy4yg+zb3n4XUA9UdmnEoV0pyC
J1xVus0Bz8I7CsUrFr8tgLs4mHztY0y7Fq9A8mLR45Lb+eeJm+LOAtAZ5IVUh4h/5ldBMYP/UfE+
1ZRXrCu8B4pnbxojPtIC6q5KWV1juflqCv95yDWaH+UE8ld6B0/KPWGC+3bxH7mwhBsdTGjQ9HgO
UqCiSZjMOwvMQJCWyKZeUV4hugXSi+8iXdLnFYUEhgmnXzn68jaBwlqNpbkHOHDM3PDiWdxjJot6
CB7XvFMQgUpebApoh65b+skXYBXlq8g6KnGsIcFtwuVuggh/FNijVjYxZvw/dKu0hJMLHcuIsJob
wA73AuDCLs2y5BiVeMunKkLBnkePH0lTrTed2NYTZ1JYjdFtwZaBqo5Wu+3Vm2fRse9I9U272ok3
aZj4O72tk7s8kvXaM7kWcML0uzYVET1sk7+rbWPeLGns8daOck4Yd96pnlxIcgl0NVpLN/6SipWQ
zgd2yQVS/HKYu/RC1fpVYaUnp5+KDcllkxuElW8svcZ4bLdoUixjuR6FxtoGZLA3xeQgiyJqxah/
YZKYO9NSdx/wC3u0TSyKIxtguPBq1QBLaa45pfQmNFgz8y916NPYoy5Gqz41BDI9RWZpgZ+jiWjD
xQyCQYNJ6V9L338IQf9V2trl7+VfLNjUquz3Scf4RA06HWP0TPhq7/3TpGN+Iv5o8z/DQVf6acq3
/E+ejgMON6b5n6qxH2M+H7K4NPAxk8WzQZvjP5l0aLH+RQT6TW7ydBzSqFsUbfDlfhGBQI+5TNqe
fzFZyOAMNpZ6J60qKm8trYxNksCgrV4pmZa3Vs45eywGzCEL2Wce2CdZ+gg8RfaF1tXj3EBnNMkT
z6gIyO9WPhWBtJZDyQmw6Qf/NvPGDwXHwlUDAaY3cdaYQdQm68hpdnpEIqK0rqda22tJ/sWRk0W6
vDpF6XibmSg/guEgorQXiW6vpymVPbT8JD7J5yQl5Gj41+airxMT5ZpiqnxLbct+NhDZS834khYc
Es3gHKTnfq5twAFy/FqX09nz4b1tQv5tLz61Ax1OpBW2i3c5e+sMziMFKB3983rVXLinbCfoCYE5
GPumq66GLB+CscMhlVmaxHQCkF23PP61JZUXbbU8F+1wBjqsfEckgWRmS6r5rVVsm7vU6qOtzLjT
GPgXKbY33rxM0iud4XC06WEyqv6lmMLXPk3v47K6gH5jVViEzrZozRrAaXkYE5ci6aSd8AcXzlof
lYGk8KodNVQsKYBkBmBsTzW6SOFkhzaifyA2029zMUCr92hWBGP65OUEiq1ofivNniZOw/joTO1o
DP2BjroT16tsFfodNrDWLff+2I+nSgKfpuKepiHRnWgeey+0cvzM3xPexOtSiLOdtHhecvb76RHo
zf0IViaQY5a2VB/4Da0JZtkvrLAyHOZA4apYrJgn/IbUHI0ieevZGo/ZeJd4nqTQMmr8s+lq8dHN
qmEHiwg0Pa8B6pLhV+xinsH3YYbJPchnVencVIvYD6rnuZaOna9z1f5szMpD55bSPLl53j97lfBw
l2X6539vft9vfuQn/svN7/wuv75/+/PNT33W7+chNz+aDx1czB4mIJcP/XTzY6MuICpzyeNaiE3h
h+HA/UQiHZkffwovVwVi+f08FJ+wBVjIHtwmfVwK/6gplzveH89DbpccumgfnLBKmfn1PLQ0c8Rd
mGUXQ2c9dqTRtOaCMhS2xquF3famELKYg75Jm1sDikNvFpwkxZ5kkx6mu7L8bsBcpZ33BL4TvnEy
PGCDklf6xEv8c4jvhXOMgvSZAoiAs/UyZ6oCKi26fW06EL/G4q7K5suk5cOKO+9byL03cGR2VevL
DVxHhJBQPk1aueOUoozQm54WffwmYMDUVsUXsJZ6H03OFkgxt4PWv8Vs8zFUUm32C7HqDF1gIuqy
xxDXKjP3EnT63HHlMy5eFd6OBTW0NAvq+whqCTkRbz8ImryLbNyHwnyx62lajdXcMyGSba0IOm7Y
Z6R7UM75xpeuR+tIKDZFE3/u4WetS6fOdlEG82mpdTBYcakabplnYax28Z5CyAiSU224qPFUikMW
0PI9DbrMc3bq7FrDyK8AHER3QOamZzFILhku1852SpxL4mHliIzEuJ5nG8+0bd5wVBKKaXFmisbt
4Pim7TauYGquhoJvbaYexr2m27PYJKQXqxvhYEBxwjLbHlNDlrch8tKVV0tVbubPbcTPUDbJ0XY1
ARUva7Vsa46qj9fNjC9GY9F0zAbFbdL0HA+0v4YezxFKfmLq1pVZb6s7xa1N7fgIGbWCQyCz97yC
MNZmp0rXo3Xhjru8o68Y3Q+xXzu3Gh7quEjWTp3fTXF5rE35YmrZKR0xBjRm8WBF8bjp6Ky16+bG
jNQaYeo7qAFuduMwupsby4Jbcl04cbqcaaFmyc7lNauVOm1Ds8vm+NAXqhYxrEqOcdPbFEv0dYHp
uwoZRXHjAkutaGFfOdgbAqgRXymXkivH1rNgMil6seJp00MQcpXHAv456h+WA9SSlIU8vVFc+q87
MRZrnPnVHjRFwjMn2kwJ/2XK140Nf+POcEkzXfG/HIYJmuoGbLsJGc5Jv3adEXOCdIjK1Fl71PXu
SiTTEHRObtIk0moUL5qvYqLaMpyre7zoCRS+0cf52brg7fEwJB4xHGatVeu670UYfcsrL4e0lgdd
Shg11dIboPNwGgZzY+i9G/TtTDOOISEhVqPPFt5c6YaNDVWXHWwLHBg8hKOKyuokdavsWLZd9fDv
8+P780NHr/575ZBrbiff/odMWPf256eI+tzfnyJ405AAcQ4amEgJovz0FKFvnYGah4LPKvkX0hcJ
QqRslqsmW1zCfMziP/RD9sgGsUJ2RL+RPP8Rk4Ui3z8+RXh64cDhawp+Asb/X58ifuEu9Fo5wyUf
qDULAwmU6ZhPhn0slwqDcSqKxzmNMHFjZvA4iNapU8CowugQMzkyCKUPExaIzJvuBywRc8hBUscE
3nrll4B7fcQp9jRSAOBiqHASSEl5yMGA1YLj+Shq8g+TMmEs7DsL3M2j8meErj8x3VsfdA9SW9nC
i9CVnwParbmRyuOxeBS6pamHtYcp2m/jl1k5QtrcnjeMwbhEsIvYguJQWzlIHGUlQf0P6KDkoMNl
IrGbYG1eU00KhbOFp5SMXwRWoFQ5VBzD/QppL8FznnwWzdRyGQXCQoKiV/4WkOmfRWTvPLfm7jta
iKJ4YSycZKZyx2BY27fKLzMr50yChWauwi8FlhpdeWtwUr8kym1T2NkOa+6BHt9yayhHjhw0ojNR
/S3SbWc9Ydupkcbw8zMkc9i/i9BcrjGAvCW1Q7mVk9Co5rAIjyOxwZtn3JmtK9d2FYJuUGzoqkUT
GMfsynCa4cWDf2Kt+kp224pUw2K7CTVubrXNZwtXPPWOG4/nGe6hhUYWCm/Ps+5N6wxKy9YDvLkO
c20OOl7NKwnSbUNZExxinZbXUm+Tq0SnfB+Jqbs3VSE/0NV4XemqLbnN9TNISpcUDhX+lQSPyH1A
fB7aorhrpdHcxKp53FMd5I1qIx9UL7n5vaJcs+30hLxHcblGhXkvl9xcsQ4Ov0xeotH17mjNoTT1
W+r1jU0cj/UjQiqHc8jc9KqhVH/YXt5vCoJiK64J/SbzvGAuTDr+MRTQe9HxupGkrFvzDGKE3/q4
acbo1JbNi962fqA1/bWMS6aKsJu2rj7AXbQqf+s6mAnQca/tzuy2DRvq1JXdpjH8qzBEkMlyFMbS
WrACDSDjFjsziE8QReExRKa8J6XBHevetcp6Z0AJPVcAA68y8CJPfuF5B1HlbIxBge/wJC5Bq8mP
yQy1fVGna9VB+lsz1L8bUDUb//1h/vAevxV/cYyrz/rpGIdvYZLmJqHNYfmzOAJaS9D6Sd4Fw40q
W/9xGSDRaDuoFbhr1YLSURuiH8c4LEe2o3AzfFNRM+iw+AdrIA6fPx7jynqsAJDK/MPTRB3zPzlk
ypwFSs6PcRn8OGvXqWU9Ro6OAbMkQZJHWEJsss7awPqcu/I0zgaXb1NsjME/dk4mgprutG2Uzg+e
VjW7Pi3yVWkkgGRFsUn7+mtkTgZA1Q47wE4IYm9rS+ufWoaguxkb7k5IEZ5iexaHdCIv1FCoXruD
PDum3a+cyKQQyjW+dKxddI6xfT2WOHlTIwnQTbNNMvV3XIZvXQx0tw2QuiDKRrBGeUnhgieKVe4T
8It68nUzLVgrOsY23pRt06jX9kbqhptUye1en3wzsPDizRxwVHZlOuyF2pJENfeDzqJ/LwtL4xKa
KZ0Tfcn/F/vl3sXSuqr59osSe6WrI/sqAXhRUrBEJCGIM0JJDC8pavGEatzJolGshbdOCcpCSctV
Nzg0DqZ3ldMGmUBx0XQ0C2HR7lg0826JiVFL1Goaf1lffRewPe2xRtH2UbbrWPcOTrPcIDzMawv1
22rcrxVqeKNkcYk+zlhw43ThQzQgnI88KwaUdImirqOsO+3Ykl5HbGdporKc1ed0zI94iV8mJczP
KPSTkur7zt8maPdO6b/XSswnyJegmSPwl3TzrVCdkavUBiChQGBF1Ch5NVkPeKwJMrUvGNXmIC+d
aQMqhVum2issbct1p33xxBRUtlltMmq1WV8lMSDe5qlS+4lCbSomTwB8YnlR8afPc3OwuLLCbS4X
AxsM1iByjP1N3RLu0t0x3cgFhEXdfQay8Y1Yp70NLeNbHWbUCEyxMpyDuoXVtI1Kd9iKyQoD2qzZ
F/Fy3fU6BbN6aBc8gQ1q2WvbOmh0C+wiIDOB5VW8ESrvY2aUsbP2i6XcKCTK3I2RtlyXBSvHsiZY
pc+E6zy9Duoyy7cJCxIRh/h7pE/pbMJ7JJwgLg9VvKxDowmsvLPIaA47IFH+OvamizWEe9Mpb+Kp
vIjMO2hasu3NA+NBOJ59vib8g/sa81cgZvcmK8Sz6xcXuHg5EOV0XocpBSgUWKpEZ1t2n6mcxR+E
ewFUcu1vWteXQeXjievScltl9dk02QhoxWMb9XCho1NX1MXeMGlnNOcbMx/2ds+l0AVjiqt3uhS5
Cf1Mz1/iNrl2RM2lWh/dQ9q4J9MvrpOu3uWaBXK5nc2gyjK89AKHdBQbZNy40SJvJSezT05GUb/k
BmlDb2z7FcDmRxbkz71s0Wwze4cS5q8nxH5YCww3skStpByBIoq+20V2UZI4WKZAm4u7UYTPeOxR
x2oMxAs65NLxeVGRUxfX5es6zQ7hIt+b0rI35sISu/GRWrnskBdGFvX5tQZDFz+boXXbjawgrKSf
0QFamwZWlNms0T/QYa/sJDklKsk75YXFy7pZs8J7WYT1EIb83aEUYGSmsRTXnXHneP4LzT1wT63y
1tTYVRiLB+2y33ULckBTEhNjJXMr434XlubDELcwQYlauDjxEsnkF7rFbd7QTOwm2jEe88fE6cq1
3jEIzx7hWda63YSKkpIKC0RJxURuE/tcdHKW5aitHCAua03mH+TqHpo6witoEKW2kpgkaJx+k7Vz
iSoQ17o3LmvlHQhKwTZ/jLRl33n11h1daDLNcjtb1rjRBgz2mR/dT7jAelPb+2F9BXNi2Nq1PJLR
J8JixAAZG8rXrVHQ7iwwxeG2+8xaHlC5/tYgbuwmk7ptD/On6ItHZr/T4qKrQwPb2IO9BZ5OQ7N3
ldQShGwI/4EXEXwzgU/H1neza3xdjPrsRJzZkwpAwDBtDPnepcm5m0D8TtHGpWx91c59QNnJC3hB
iPJksadR5fL0vduxDoxwGAy8CKC/cXLX+CvBtzkZJCDk6Aesl+fFdt6zjoMysYQiYrt73tzoKZA0
DGukaaT1L9Jfop1pj085r9sVejM+zlGSijTRTYBG4YMbuAss1U6fozeenRLaXdyzEZ+rDQkycfE8
zWNf4Jg72crPSWbck7lEfmJvabjdC3suSv04FyBM8dLADU5F5mRsF9P7Ak+Ya48vt/x8X2QKIK70
qm9tSL20n4JmwGSwXJdZ6qxDtBSeeefR5mNjDUbDRyLvKEi2aq0iG9B/Yz1A3NxtvqFjXQhdt0EI
zjzohvBsQFzgFjTHW7/yhzWKCBvulLwH77ImCD2H4jydd1mdlCtmfEbVaD87QJlczknC2isi7/dz
taB5a+lr5gJCGN0AajTlhSESWkoyDzTVveHURtAMjXtcNPdQdyqYUNowFBiNAiIhcyA0o72QEVpH
c/FBb2gVkHu4TOARoORFJ91K4Cl09YengaBEHHkZVVBIa+jjxtP7lsVEoWsALHrTh7fSK8+c5piw
zjZ6fJzYjkaxf+wd9O96ffWbeC8THSU/JaO7bPTvCv+/osh3UcRggP37OfpQ1O8yecv/LIioz/sx
SRt0g0Az0sHJfV8lMi7/kNUNgewhDJcNHwPOL7Aj65MNzAjbvc8n/qaV/JikzU8A1BwPqyGFH3ig
/pGsTtfSHyZpxTxHdoHHazLr+6j0v0zSbtzIctKa+TxZdW1sDUzO7rl2rTr80CHtOLQmdHpXMSOR
jln2lcgyjLYUGxFGFpiNQjNWJRchHabG4M4Ei8yvEbdIntDhmzSye+Tl4gYpHQvLIsyt5eDgRiNq
z5UQH3GNIJuBzSDYqlbufW/xnkvkBnHSRRU2nNPSt8VBK/OO5o4sK8nOUP4dpFjUrxGtLYLh/ikV
XXbli6Rc47Gdt9LhOGRXwBxdMMcUviFXImcLaQ/zMXOSk1d14RWIk2ybaT5UVbaoHjUZIJ+LzJm3
k+/GdLWTqG+oa8BM7NbrZsL13ng0muu29pITxK7FVB5xPD8YgvkkLGy07YR2k8iftWuZiq/YKQvW
Xa4BuSz9WNL01R0ToGX2YBSUvrshzUvp/CiLLlw3Mqa0z2J1FqfvXbSYLzRYQDHIu2o7iLxZu21u
IrYqOSXySzKHWmhsxKhrR2R//eRgWdklsckxIXtxkq5760EtuqfWgVTP/KDV6LiVjcFI96pbVxQE
kkJZBirwQdMEhSxL5hp4p0eWsXOmnYy4V14ZGTu0o0eHOtQtiPU47xhdCm1mW7dIKeQl5m83mLg9
zjNN+Q4CLM5qOmb5Sn7g+Vp3qbFGkZtig+BwJM4qudbnyQGf0nKUQ+lfkmEmCVpBp49WPr+E8OKH
FRjZhHl/MPzsZDJH0e2+3KMuAUf99/T6TdLlrfz3p1eAltL+hQqg81k/zi6CxkAXeBPZPy7tv59d
sLddojHkiD0MyShJv6sA+CAwVfAhDi9Swr+Iud4n31QFSpbPF0VX+Gdi7vdb/i9mULiZmE45IPkR
OBP/oAIwDUWZJkL7klHHNR+oMymsL2RHuvBiskspirOWaubeC9080Pr4frYjm9ZSu16zTkfLDZnI
KCTINpBT7DWlIvpeZw++9iZLBv1QvRnzAunJSd64ZdHZaMXtWraCgASv8CZM8ZD5T7XqRSeeRqTN
a3F2zou+T3zRrrPeCJnwM9RjjVq5WDLHx4JClJIbveEmz4MhYGaXO4FfLGDOLYeFKqJuXA16QYYj
rW6XaHzCp3hoaTxZJXkl6P6GxOQ3GFwTubz5KQZW8C/7HnFj5efmjal3+bm3l2rrZU65poq0Widt
82GF0VufsoYqNHfTze8jU/eaEWczaJhT86I8T6b9XJdRvYLiS+liWyqLyMi4XLOfsyrNQ4Lm4mUM
0xUotnRjyuW998ItWBWFfdsZ7rRt62rXQsOSJFhQO1gHwdIK5GC9d/SWZ2MIYBsM8WKdynnZLwxR
qz6CLx2rkHeRQAfKy3We13vQOJupSh9yaGxdV97WUr+KtT7AogIUi53dwJ+0B0a00adElrtOAzrq
ifpoYEmDAsKyleNVVyAA5YohDotBBlezvDUmDF6vqcwjc8N5i51GW7q53hUGOVdwXvrneUnhyQmY
1STst5OCWCfQrJHct+TDImAMfDjpx3eCJbTtIjivimHad3N8bZehB8hzmrcNxOxRw4KfevMLy/GH
bpluofG9WjC2dVjbyUDsQzjgt1043Ik5HUcF5s5jsKjcQF0Gf07ngR2oozf71JG3IWQQ7DlUibvN
w6yQ3+QqeRpE3iVUOHCczx8wC9Z93GVI7iDDOwUPX9wPI63sTWJ0T4PCixcKNE6r+XXGc2/ngL+R
4bKDAsAVVeHJtSr+GmUNwKd+XrbemBKUgmZuau1LAmu7UpjzUgHPvRkvkUKgdxEwdENkCG3g0dkM
3Mzw0pkbWHcAUE/N9JHUcrTxcBLQdziveDfj8JT7XOHXRVcdS/QctqoksBQzIRbZRwuzvYbdPrTh
SeQLPp45vSZdcVWrRJuA904lDt5Ndqk8bFCMFBQ+7cDDN1OhhC6Q8QBc3srMe+F2tily50B544uV
WfX9ognl6eVOkpvOI96V+4nrjg6ZnvphoKiw6pepuQoVvD6EYi9QATEm0DsoaIPyLhpMsBh3b20v
10Uh95De+2DBC76uyXuvBzO6G/CVY03aR32yk2nsb7KJ6z3vHvHaDu0Bq09/F3qAvJMy32IDvBId
wuC/j7bvjzbzvz7aztVfUaHV5/x4sBnuJ97s2DOQY4kzKIPf70O5/wllmVoLx0Dlxsb3fw82j1Uk
wQeyP/YfCaSUazDkI0aL/0ek1fJJGP0UOcX7x8PMpmEPkV2oWKv6+E/ydrvgm++dHpCgVS4siIRe
A37EEG6vtSkaFnXbBPSy0kycpmuvY6XF5qpo+w1lo4hMnaPnZ9RhveiAFPM9IlV2qdlAs6i98jcE
+82SRipiajhGOpyzz2NfaBQM6BHtdKuMctKap46k2QN7tphu+9RlJxprVcQWiD6nfiqfsfNBzbOt
fVe63qptqdBoBn1YyUTCwIu0dhv2+kNammdZ4iuvCsADs35XzmjNhoFpuUJ9AfJ2VTbhyRinJ5r5
FSKrCld1XeD8P/CgDZFVWfQnIk2CzO0QECaXA9nD+daHC2HQCSuf698YOv6OHIFI61tsghMnku4z
t4+Fd6TC4JupXBBJP3zuJgeTfpQz/+vOGtf5TVuV83YUgwgEDaOKxtwFlruwB8QODwO7XDazIwEs
6uZGhyC6TntUg9Ebvmn2dJVrPJJ6GcqgCI1v00RhWU/TaMqpnTiUljGBn1IPV2Ai5VPvILKlzXiC
b9YHQ4K1gdTFPXUk28bt6aDOQp7QBaEEGdYHO0bBn+zqOjWru6YZg9Ctr+BWBjHtRowb3IjolQBE
+cWeQVXLeFh3Fqn8PFvnMSY9BvejHRYQSUkolOGCjaebKHDNq2zrUUC7ReU8FxotaVku0xO0byia
0XNflmmAdpnsLPKpa01EZG0lzEQf4FLTHYd+SFeNLp8j4LGrBSTAPBv3XTRtxIQ1Kp2MfVamd1E5
nBLHWmfQ+1BQFwo+SDKsalsL9zJjYatP/g32ExdWufVe5Ua7N2o4zk5Z0TnCdSamAKy0skcSLE8F
/nWaMS5aXMOk9jNAojkZMi9Pt2lOhYXrQaCMaSmwXvSaxhcXf9Iw5vdT5hzKqKE5N4zZGnuxE8ww
AHihmzGoHmC7ls/AFo/jc+mqbb/ZPU/h+GTY7YPdcoOM5LIrY/+Stg51BUQEnO4Lcg3JWvqlgt7N
uBqqNadnFFwZ+/swXTJ0aqPfVHN0iFo7wo/a3PWC0j4vem0cntRTQqGCjyADztI2AlvvH4dEx2VJ
EmVdifioadVRd/23cvHAm0QNzJfKuIdjs02k/VC3OuzV6mbUKXSYEuuevZu39ujXJF+nXUexfU7c
WgusjAKNJH8mx1HuSmN+K6Jl2mdztO8HCht5/vlBqWXlGntYtWXMeklp0eX3g5Epnxbvytdx2mJ2
3kX6Ik8sbLfF6PIiNXN7Q4cUpnpt3ObtfDEM+11SVLWqZHNdu+5j1YTxURb46YUxvWeJf5cC4FwJ
ZAUKVcg9tcv8MQ7cQsnMIG5Gph0Q+SAx3nbGLncB9IWURogw46WDyXCVGfgEqjqZg4aYcoCNeZ9F
05uIOxrBRVnSj+Gfe6c5k1VB85wsFgY46iG38ILq2MNr+occ7auoSvbzUr2ULvOfiJuDa8HXqifj
SpfNsPUmbVibvbizGYcPUUcB85Kq4cZMz0ZWHGckQMIDV65v3qYSDSFPD3HX3Idx8wGGuF2Xozzh
fbgIaKA1MU3Cv9jddOwKVz7nImcjli52Thu36lVKonouq24O2E3wnmWqd8JRbsaIIGUyjE9+22Fa
q/CdDGXNF0+yl8nqLN6O0zbrucIUnlWRtDKLLaaxZ3N8H+XMtd1JobvM9lUsipdp5jdq+P09gTlz
Ew7Vk0xdPyCo8mSiD8dR56zmjDKPxVITUvWVgu3XRepcvXkx1KV4qCV/sBHTz9rJidobUdmw/Hdv
hjQDfxoa3PmR6vN8uIZqRweRWI99fFkK2946NkzVaNAwMOTuifWwxYZIP/QVbXuY8aaDPTr3Zh1+
jl1/2ck8eS9GJsHQHvFNj0upivgeIdstAYA84H2THChL+XdK+j4lqf373wsAd8nwLtvk2/uf9Uv1
ib+PSuiXSIT4f1GCuO7/NCnh/cWRiy2X1nVu9D9NSvYnTieoswJTMELmr73vNoOSR7KByniGg39k
BPD/rF4yd5FSdbCUMeqLPwxKsam8XL3FhFE1Te2eNPw6qowVfbGAo2yn2YU0g5Vx8Q6NfpWM/bI1
eFq5q7nDo+oRJ7v0FfLUWEzawXFK69yTxVuPZlte0SpQ3M9WOV7gKNcn6oarr13UjUezGLN72xjl
lV1RMBV0k/tO5YW9r2wuxEYq2SO5pBBeYx1DxEobeHPLEQq2n1MWZdDHxD75y0Bx2odmJQseJpH0
gY89luocWoh1j6a0WtDTaqYm9z8Aq3SpZTdF0YcPJnHMu77W8vheT7F5QdNwjWY5LDUlXmp971mk
yFwaqviGPVORuRrQnunDJYMFpJFeOTZ20vBGMHXStNe0sw36tRB1uimcpEkfNYqTEC6HzHVxk+JJ
Wo3S4lhxhrl55dixDvZA3eFCUHftLh2F8PPRg4C5NlT7vT5I37kaaorxw+8d+YWqyycaT3O+1gyY
z+aktKzdTE/vAUiq668rXBWL0Q5QOgfK+Cta+QGQk5ATdGydnbTpDrD0kuFuST1jO0unpCs65oU5
ngufjjft33z4f0JTKGR/fyKs+q77i9NAeSh/nAYogrpLwA97DX5NU/Ce/3FxQhGk1YfDQL3zBYL5
7xcnfEG0o2O3ZJnxw/n5Y5vhf8L16ZIcIHcAWoj1wz/wBXHX+uPFyVXOTtwJ3O5sG5PQrxenoZ5a
p4xi69JOth4sYKbH2eaFiUEIb0qzrSwTh003P7uIUOs2sr/yhjl1/pytHR1TdQpMc9dJ1otjRZZW
L1EQ6bPxlrpf00kCox1hz/bpj62q/svsly8xXcdzkd/hiN+Vc3c0LfOuqeH/ps2MT7M2W8ws5qlk
sUA3g/vYZj58bZ9QwTKGj3hOn51IFWtXOAHEVFycyLoYo9j45LbcvDlk1PUeFjCdAYRvgt7xhGN/
2Zhe/WHXHARj5ByBPu/qWX7xkhln6PI00Zy1yszCpL6HgnaB1WDN5MXAXYGIquOn0ehfYVXaQZzF
e7NnJKmxUZKStyQ71Y4+n9q6zormmGc25g6AFM0QsxjQqi5Ycu+S4D0Pxqi5pM5QH6eiy7Z9Ekb4
/KoMYrdEotSj8LoVlb6O/X4hFGwvHx6S//Vgu1+XhF9uTWr41uRCuIpb+R7Tz3NOIVU4dNvRH1TP
u7hsvUubkM50VS4SoDrznMpKQnEaqSgCfzCoJCV2UxKXKl1pT250q0eWsVtU9rKJMKsUKo9pqWRm
ojKa+pyne0vlNjWV4ExVltNaoOeqdKejcp6FSnwa00z2U6VAbZUHtVUylD2Nuesq6KwlsVFyB1cL
MdKsNA6dypUmhfcRqqQpfc32RlPp01nlUA2VSMXjSDZVpVQRDeeNKxt/16kMa6rSrL7KtRYq4aon
RnJXcpvh9kv+1TJgw+oqE8uYbK1ay9Ju2WPZq2LhX9qoFG0idLH1VLI2VRnbWaVttYLcbaYSuI7K
4uJGe5jN9oaBsdzEVIFj3qohImA+TmLB9NeQ6q391lpFUFQog1O/osQsX8fWSR9LkFarVvnGZuUg
M6eI24FyldGlSWRNOc3AUPI7llq/90aCcPFIeeXaxZyWKZearvxqA0ujvd6l297JVaTP54krakIc
+NyYEiipt1NMBQB211L54YRyxi141FKscmIsMhoDlH0uN/PrDLf6HqL9R1cuXzpjiLddzcM993N5
TgyyidYk1rlsxIFeMNRDzR12XljadyYWPlKJHUDk78a++LvJD7b8V4QQ6tBhModxyiYepWUHOfHB
0EYDBTgSAVLysVQOwlF5CX1MhaxXKEZ0qXjsMBwmynnINX6fYEUcVKKOpruHgoidm5Y3Iz3lmuae
W+eV0NBVX4nhM/Wj78RsTpPK6pUqteep/F7/PcmnMn2JSvdFmX4y+W4xlodhsD+azDMDY4FsPWLb
G3z3aVFZwSRdvFXXFt9aiCm0QxWHimChQ8CQ7UURVMpOTVs3kmRi0A0xxHitVd5lUClFyX9eqtyi
21rOlv5zSi+bgu7O6D4n5KgTdiSWySmo18PaJQiZEIicMiE2rcpIDi2ikNFzycC21KgcJbYjxCKV
rcwJWbJPeO7pV1u7mn3jT0hFlUpjYvrnv1QJzV5lNWtCm3Qz7HNvKCl8DRFQyHXS/aLqL8l6apO/
7ib53qoUqDNQFB+b4uV/2Tuz3cixrDu/SqPvWeA8AG4DDsY8KEJjSrohNKQ4zzOf3t9RWlWSMjv1
l+0LA+6r7kSWkgoGec4+e6/1LXyFqbHIMYtmpKLmmEez1rjFyQqKEVtpVE2Pg/CZtvmw5kMny4Cm
FbypCRq9dQbjZhUIl6qK/ycG1YCqTSF0wlyTpiHoGBFqkP48a9N9otZQyzG/NraztjDDkvG+kvRy
5fcCjqG6Q6LwZ+MhsMPQrcP2pQ4tLJZ9gxRo3DRiVAHiA/BsfO4BimcvENHx4y5okvOUKYcSBlcJ
U4/ARKApxiAt85AkBKijMkXIPFwzKTMTUoD2IUkOMsbSmpkK/crvpNAA3NFsaVyB76rtU5iiBvPN
7AJTULX4z2np9bQkozH+97XRIvnHPK8enn/BShQ/+FYfgY4S0mfIzPglqYGoT/6sj8BA6fgr0RKg
+XiVVL+ZKB0U1bAV3zzlIuDvrT6y/4D/jenRUGxU1xBD/k59xEnrc31EDBdHDtrbGnR3/t2P9VHp
e4MhKV19lPX8puewAXQZNIUG5dOK6uokTUBNstTMbw1kqK5jJOh+LSjtNhANBPldtiVOup3FE5Ej
aE2/4Ym25hVDLrdQSEGfdEqBNJxQuomOaKO3OVxCpwOOWvf7KJou2wbcCb6SgNmQde0QHuET4L00
J3KpLCPfMnT215VmbZpw+Ob1zGm6qLis8oAWnhQ6a0X2nzK9uxog6LDPneVygDvBpwshVxGHA4OW
ddFL+6QPV2MJhRcd2i4akzuvUbeNWdS7oG8vZaSHS5JD0Af38PLY/B9NbDbrpsEZWg1oQJx8+G7m
5nesr9Gc7Q+NddkdnEG7zdQc11+b5DOimx7ULjgP8j7f8Gs+ORk6VlCrhL9argSGML8ZmJ0tVFlB
0erlK6MwH1jNln7OW+8FJIMb6XekKYsBv46SJ8VKl4Jnq+pRhMb+Gs8MdLzOQOHbEx8RhZK5aKXh
aMGFnYW+ehN69qHTUAXrqpKzfQO6zYqeGiSLV0nXbzSzuU+VPpmVGp2bFhPSNOn9zpZHrOVstqeh
xvhRNAMcnMTWK2cfSMXLJOg5Huk5UANhBuWoN8nSSIZVGoYcDMPI2RTlGJxrsXrNugU8RphSVTuA
7x1rd5NszQrSKpz2qjUT/4zOYrGdCJVwqD7idWHkiz6SL5QcNI4GX3uWhWCqYzm8CXujYAsm9xV+
UjTXfPg2hVkMcyNviM2V8pMfed7MxPipmvKVJWG+6qPquW2HtZyYW73NuMWYoZAQfyuM8NnS0r0H
agNZZwkApSLd0JLaBz2tR6aG2p2kJvdSoRkMBKzV6Oh4K4Norcr+JWlK9Zyor6WkashyJ3s5ZjFq
XmueJfHe9KyD0gJes8fxMp2yFxnzIjxv+uymMbKbxT7qeCl6AhB0S3TecgyGiyRo9mMnXRlScN8k
yfeggohettKuHKozWfOuhyzajT1WhNJTb/yUAXBQeVfeYO1wRJKDofr6Uiss9iob3JOq33lWf80Q
C06vn0RYJ50KFaj8CKn5oq/IcS5IpPPgYttWd+wV/YJ+PtE9Xnhe1crGtMmOte2tz+igNftdIRmP
/tjc2Lrv+plBpW4cg3Baa0xzCjkscTWNt0Zr26vIFzOikO2HZQ7kXAnfyRHlhDfA5u3C6raq063m
dIdYUzeBPN20GaUvkiUNRVW/KfCNujywHAKk5IJK+RGHMtsqUwiyNeyV2kTE64SNvfCaXGCdhd3V
QTCgI4GKijTaZFbhDrWytFWOAmLFZZVSkOHr3Smn5zFToQsv224892WaDwqzGJlbwJp0ro3mIWqd
J0jXYnptXuM1J4muRCHfUtkhRcLDJZa4Cn1758uXqpMtE4tOrlqg3ao5liH1S9YpUn4loT3rpw2D
I563dvIv8aY/Wim7t6/aB6KAvJXvg6aI6uQCF3XFkSRW3FG1HtXQAv2EjwWSTrEYNQlDcwh+lZV0
GVM9VM3kXUYleJ+wUq6ysMtmLZqRpyKQzsy86xZ5zRoRht/6oEPDG6xTw36ZBuL3GrR4lOUyxySs
225YGwBJlXpKv6WcP/3DRFT9rDG7fIFZc2fY1ZUzonCtUgZ805Tf51PoLAq902ZNPN16nTPMrK5+
JM6vdKe2Oulhchb4ylEzvPuhbl+UlgA9Lau2CYzuGJIf0T/GeUu+HyFK2AjlKufzlws7GfayhB2v
aon7NnpPnoVTe6UN1MweHsw8uom6hnMrXUh+m+nWiYdDXY43qdGfF3104nngJgztdRorZ5OBbQ/D
L0YEOVu1FsO/wWkuM208U0z8yEO00+XhOlPxVurGyfTreeHoGVZD3mo9sOZWYg7C6s8mZ+JaC6H4
wO1QG2jX9K/DYp2V2bqKmgmwac2yY0KGMrVxZijAq5H6kz5aRJtpopstxf0mi8xgTnMfFfjYqBtK
93DuJBFTIK0gnllmfNZzWp35Q4iKBDnDf6qy16pM/W0P+/A9g+YZ/nLc/66HTWvKVhU6n0zuaViL
rtGfVRmtapU6zaFBJevqO7TFaz6fqNecH6TPj1WZZdACQ9umUGL9jY4VOY4fKjKqGdkQvSpmWyZ0
DUf51MG2kgZ7jupLRwXjOyB+bC/69N3rOVvHBnGWrSYvDSVaViNmkBVElerCqVLpXLWEcgtcc2Zd
+L6T2jNHGQHL1Er1zbNDa3wyJLsR1p10pqrQVuii5rNaJd/Cr+mGsEfoKxppIm+0t1cD5daiKyRn
SbfqNiti+ckvE5i26lAs88BKmOmwBXeYfOD6899qFrlutKSqe5pdSG18zAdT0BnbPrO2UcR73mvV
BkgRzLlWWrVq+0j8H4MslK4c1Qkpww214MxyGP0cBZVlLAJH787sDD9DKiwUwFS1VTUiMgIHz7IR
D2DebBoNI3FZtq8S4uxVxWLS+jlj7foU1Rn46bFJ7jrbGC8VhcFnHSKrh5Rc+sGc/uR5NBFpoKkK
agm8X3YfHnnVn+qQpAmbiAK9SbD9dEa/sOxhWjXodbcZutWZoYUDXIZaXtRGqcUzitt+Zg8yrorC
BkMQFtKRKD2WB8zcEU0itwmBXgjZXtzlOO3syFplNYe/oZOPeREEaydGyedJKD2opqdwKUnkxZJL
RXkxiyKEVpUnRLaqJfLSBt2e17YloScLAhxZDu7gS5gPxap7Re3wYGebrOq6VVrn4dYzJfsQ6j2H
xAZzQIxHAKuAIjwDShvcJcJFEGAn8Ct8BT3KYuLtnLtYaXx23OJFdqATITTcJ2JobkfjMRFOhQDL
QkCmQqn5zXFM9dFNha9Br+zYdTKkCkTBbCrhflCFDwJM3SUnbL4mbBK68Eo4le0qAyXETB97VmY6
Lz2/QKO2OGGqrlf1Q2cU0nbULIphLdFOhiESJiusJ3I9Q7jhqnXs44ZKmj0tNHne8qAdO1i3y6o0
cCbqAEakPF/lJC6yl07tSguS+6Sz5o08sPNKQ73tB+F86nyF6aRnn8UUF1LqPKNvg5yVnudtew2H
/FAXFr1iVSrORlpBG07h0Qy/1VoyKKdTOBdXMrXowra/N9KwCxNrx5x9PwY55IwoQIU2LkwoMHzm
oz1meyNN76dO2hlKuE8D23fD1vAOmc1Yl0aYtmwD/xIujb8pA9DRGDnjki/JDqxt0Ys+BE20mRrb
Dz4HFrbv8Dh0uaB8UvJJTZcitS5dxUw2TmMs7Kp6SCsbFgzVBpY/E19/26TLarKWhKnRzKrzpa/K
F0XdzwO2MavTybgbXAg7r+ohDC9Dcs107Kjq7TXjIXqG9K3No+cQXezZ00tRKheExWws0tUQ2i5M
Ru4uR7EdI2CXQJ+HwNQwyXaL2kdSCqj4VMfZhZ2rzw4yiFmaCEnoeKFLtOqoUw5jSaUd627Bd5xG
6Ip0paG06gCWygX9xvRpGserXjyPShxtaAafphwrH6YoKyIrfMjXNJ9dFlLcNoZ8nmbD2ViOrjqN
m8xr5xJCimCSViT3rS1TdrGUY5UdlpIhCxFg+GTa9GMItsEx6caBtRiL/JgBxcTpn6+UhjQfVFIn
FQ1v2PnrAcFFmkv7rhuX4PAfSqZsYzwgTkhfVPBBHsISlGeu1yQII77nXnsxNOTA2PJ6RDcR9tmt
UVrzmiEE2NwF9A1X99Qjdo/LGj6iDlPB8AdUCM5VEpFw7CQJArBeXqV65TooQaniccdZ8tJ20pex
DM9Y4ZZw3tw6sOemjSaVBJaNpoxr0rxuZaXZToZ9yZDv1g7qC5/KuE2fs7H4XsqEyQHAmFlauMS+
sESfOaeMWwQk9PkahzycCXmnXaheCggUPVklz2SEu4UsryWnW9u1tJSD5DIy8n1jKNcVv6lF/h4H
oQK9Wber5XbJq3hWO/ZS0eot+F4uWC78ghs2ZPUcsQjMSV196tv8ln9KXw4QEcZapyMZES7Dadcd
s/6hzmo3s6UdnojNhIw5HzkedlUMh55NIii8khnqiC7MtDhCdN/SNrtvSgRkhbWxLJIHA9SpeVOt
Mxulw8CMZDKclRJ1t30lf8srvMySsvL0YRl6LfcOnRyNZqsxeDqtFYPm8yxPdgUxRp2EnCK01vbg
HRlRbjI93XaecghyzutZSwpiMp6wTGx4wehG2GhFnL2mDHcFgrKxklsX+vi1V5nnNWbRrDYugKDJ
M1upL1sUvF3BRAYrsIDJ7xODeG+7lFGq+4dKLFRTTvO42amVsSpA9LRN70Yacda9KHqynVdk12Ik
C+J3J6l6cJQ82BE+ZM/LutYHd1KbbSWj90C/1NGukaTomRb3ddSk1kYlHxO4VXOHPnKmiiCgnOZD
qDybKV3qpryNq2Ajq8qR9TZcyFW8Uvp6Z0z0BRTUvO4kK3eBURdLR4uvUiTvs3KA+aEppygmSSvG
mAO8R1si9ll7+PB7VUoX4ZTTRa5cy+/pgoyqoPvBN8xOg2+uIm/Agz4+FxKDjTp6aFDiFex/vAF1
Mos6iyAFf1EFUuZKVAhx07opjdQ5ctt1J9nPXUeqQYiGqbOWRIMuspw84bSG9uUP03KAmzo2/q5q
jKvcoOEOGNrNwJU3YUwHp5e2nLN51hPe04lJXr5JpOYwSf1dXRVPrV0t/AhihpcMhJa3aABltr93
jcZf5I987Nn9qBBhrNEhZELq0Lv72LNrGL9VxMlJRzldh7Qy8vhCCuIfB4j/esokZaimmIoiazql
rfppcBpKqWwauiIdB/ux6ld9ezfkL742T1Eo//7j/KrgfX8lgXZ4p23NvXxUJo8rqURE62KEQrTz
tMnNm6i9D7E4/P5yv7x7vE1CwqIoeLg+Xk7F9m5jgvBPnXTftLuS7mHy9PtL/OoTUS1TLHMZ7aeh
s4c0SXboG5wYqIKGaElrSmiKpf4q5KCnNl8Egv7iE+kKjhtMgxZtvc+aly4za3WUm/AUAnUONbj5
/qqIv/hMKKDfKZBfH7oPFxF//+5bqj2pMUyPi0QVI+FqLxjgv79rX30M8ffvrtA1E+7djCtUxcEU
PpP8yrPCLy4iknL+cgj9/DE+fftFPMZFl9bhaZBAexquE9K/qFng7uhAmfj0AXz//Y+lyvBRUKUi
yNQQT7z/WHFop2HGpPJkleel7OPR2Fjey9+/hsZcFzoLzwHDgY/X8AxNMrGGRCecLmAP51aWu3jr
f3+RX906LKgAAjWFvItX6dW77yfvA8sKQ8Keq+IuM/cBJ0XSunANXkbtTgfK3nvnv7+ieKY+f1nv
r/jpy2LE7FSFMkYneZAgmn5Dc/bFYqB8fOgYezBIsehrwelFzYYA/OOdq3Mk1UTSpKdoX21I9nbb
Q+4aC+M8uDBcUs+XEB6Wv/9UHy/54xF8/6k+XTLAzDU0RRedOrPmmBziSmFRyNe/v8qv753OLWHn
NEzj0yNhTnA7m1SOTl7p0Frd2Xbzxb0Td//zt6Mzw0FrR9CJ9fnBLmo1VMYaKB/Tidloq1Sb9yHU
eT+Kvvgsv7pj76+kffySOBHnlWKZ0UlBnmqfG95lOX2xvP36EkCVQcHxJlmfHrWQfCBbZ1hxyrKj
0Q6oqNWZ2ppfbHW/eoV42P68yqevPq66AGkIVwnjp0Rae5q0qNDEovyPm5PEhMb44jv66WOpso4n
Uif91bEV/XM6hupgEEitPDk13aqs7pERldPF33zQPl2CXtr79S0j8F5DN52cUOeCNvbhRRpf3Laf
nuXXS2g2bw0FD322j5eIhiGVEk5apzp5kqaN2YdfXOCnR5kL2AxHeU9ovCFH/XgBlk6LgEgSz6jz
0tZwg2gTAq2GEPR6r/5/B4zpLADvHpr5Q/Pwj+/s1M149pB+/9c//0fC/zw/fNYV//ixt0k5SkJW
YKS7rwwDkQvzV09W/QOLsK1DD4FLIDqsb4QxzfpDEEE1S8yuGYaLv3qblGPBYqti+m7+ILr/Pfz6
z4QxIUqkWcxCw9TeEZLo98+5PYC1bu2ADD7cmFs7cXRcTMPOzpLSNdrqxgRnVEZE0GS5lUzfg7wu
yTAYR9RUE15MkVTpBKCFGsIrG1/f5iLNskxoSCoi4dLC0LCCS0XARhEsfUZFm14kYvoF4wXYVsRk
Ol2ZLdPX8EwsUHccbfOZZFpEOzSk7bkoC/VtN0jT1gCWDspyFIS8Fu/PKJh5DfA8QAGTGwqe3qjk
kPWU2EG25Hc3heDuqRg6DvYPFt9l8QrnswWnr1Ag9nUVmHRLUPxywfNLBNlPfY3YBSIUW4L65ys4
K+AAGgABIed0s04wArtkGmaS4AbWgiBY9fWZUnNCaoALVsyaR2CDtBbmKvBBWfd3vaARNlGBONvD
KRGBKiQuql1kVD4znzIUsVzjv3h9bt7jzO3IXAPMgtFHmnC81sraqdqLINYubfDv7aYwRZpfiDpv
bRDol4mov/I19c9EYUgPqPWsjsE9Mk9NYSKD4cJ4QUXUb9h12lWbxfF8SrPTGNVnGMW3WRKclbK6
sxuSput+K1Fu5ZO/fCV0RjDmwuKZXI2LsHHu/rN4vI50xCDl3wttRED6vg3rfxwfQ+zinxcRQxY/
/raIILeB6YQ2xlHRxBOT8G4RUf5AgyMzpHF+rCN/LSKGoBowmeYvbJlyhp96W0T0P2wwhUhkxAb6
KmL+G8Odj/uYcHE6VEu2w/ohK9Scn5aQStWwd+O9PPoJ4Twq/eGvztK6Kf6Nd1UZa6pNQoTGXIlA
SsQ9n7aylCG6UyTjcObHaN+C1lkOqhpVSysdILoQScPhYKxXLDnRAk8SPWylsY1LtSG6E+OoYx6s
ynJqPHJeeWgryS5dsi7N8mCaEs0SvW5Hfy6DAJ8WNcTnvOjlYh3TzF9UqB1Xw1Bi28nxUvU0F1ZV
oBO/nffRSjML9NOdeYpwInA8xY3R5n4FP8ln2uBXeSStsrSf8susmoKXFOf2UlNCBLSuTY7RAlm/
rkauk/CnhVLoKaRTPZW1S7QkMYtfOZTnDdJgAuYmzF0K4JEhuNUKZQcoD89cAjI3dkiX6spVZ5n7
vjVpcTbSWRt0N0asXZVOfVnF0x6X4o1pwGKzTfBTcajvy0pf+Hq5DygLsEPGG4X2C8woc9fjzbBl
Rm2dDw4rHGiEMriY8nFbGfJdEUU0NhPLnAnlYoVjdQ2de98O8iOGdpR+BWMN3aONZCcKeUI5rUDH
WYy5SS6Qw/rqo4NdNsNgrIg4m3blWOw6T1oNacxqHvorLOwVKK/J9acCYGt4SHtDW3iIF2Ykzq+m
qdp4VXgR4DpdRRn0B5rhpK5jp/WRe2T1UNEmSy+h4e4CDd2ERCv6aexiaImV37uyai6Hgkd1UOCY
6VhtobDSAPI2Q1EC3srYumjH0mGDI2/brJ1+ZFwaOtuSNujtus4yopk8hzQxj7E65PpDaXYSPJxq
08XDuMoT+TuE4mcFrQJeLzPdaQ6V3iwAyXNeZHaK7FoPDXg7NBMtRdo6QOiQNMpPsRRA95DOGsW6
bgJplQSeifSmAoZmu62m7KfUPu+ybOlEpJpV3qJWJDc1+3jdJ+rKxvjG0Iobb2QCgdZ9UyZmoYWB
YN1x7rG/HHIZiGFYDVsjkU8T/2inZIdUCJp0BSm29KDWyndJGja5Pu01tleEt0hjc3vaAry3lwbz
ysoyrstJmQXgjzu4ym1jNzs9jfcGFELfixTEmjGxR7Fzl/jqnYZhAleQskeWAFRCP5KUyFAtcIOp
1WbGVC6xW1/ZQ32tx91i8GNUUIF/0juBPQ8pNMh72TV5vGEKwJywU24KKbiy7fRaKuhsZ/3S8osX
1Rq2pSNth4GxKqlJ2zJyVokJZ9e2wMTnSrvRW7250PsI1ynjm0i+11oSAIhtpxGcV8FS1Qpg9foQ
rwcpVe/y3rZua+jIFZy50buGXhRfDJ7FfA4N7EJnNIpqtgnmpcReyqQOkg8Q4lmpUlH0vBb7DmXW
GYwSEIJJ1Xm12xameMMUwwKU7Yic+tKzH1EC+fPAMG+kGt11V5tnHj3+BQl+HWlyDpSRgElsh/15
N9rMUn3VuGhk2hRaiXrXZzCLyzzaIb+9TIsYx0APxaoran8ZO/qtaV5GfPNz9FfT3BrqDDxIYh48
4lkWw4QPHabpo87hdmYideOVc/iOjCuycGLu4wj0bfT3RNdMzH2887jJH9vBcSMC9+xIBXwoyZci
k0HTinu83ri8o3UXNS8cno+JMUVL36OHq/XJHSCIJS6o+3yUZgj0kPIhvp55YDcQdGfEWlnjvvaA
tYxgSxPSaEr1OTWbYVXA+Iyy7g793wodSwE2sr2vG31ZVHzNcY/0y/oGVuvGaLNvhpKjyBuiyyEZ
95nTr5sSDpfUR9/8YNyEPa/oQAvbS6E7MY1BTHfRNNPRqM27ITDO8kh3bb371k8QYPocmPXULTsd
adkgC5mns8jM+H4qRW8tMlekQ8A+TUqYtHaICXoIFgEuTjcyzEtl4lurE4IB/My6Krtw26BSRDIt
37ET7EoPC4kUZidS6pt1HvnfDKYvM02u1kaqLVhuSFIbDlrGp08Da2+3Fm5yf6s0xp2DPt1jllDY
MfIkex2n1NI1AohUjR8kW5obfbhuk4nMrdZ7gJG35V7Pw4lUGkd1UA+O53Uh82vqxE3IEhnA5r0n
F5sO27redJeebs3xIk5LmC85eq3gJOvDiyf3eCim7F7WIxz2wBWRza5Kr7xKM6Kj4yxfI5so10zq
xr2CizZSVaje4b3p5biONbpBat4ssxRBf67r/YnxSjCzK18D3F3dZpiHl5JsH8GT5GS4leWuVgA6
NMGQLg3TfArJHp7TapRu+4Iw5YjkcBjlGK01pFrPCDusuaqlAaqmUT30hHq8vKvPTj+KjX+gcT/l
MMTqf/2TM9enEgSPpzgraQaA4J/60UpsKGmaedJZFF2b8U3sPOrG6v/sEqLSeteLHHmKzbjlErJw
8lvHtjjSmPz9NT41BcTplI9hIvgRQQNMQz5eQ1XbMe2d0D/KzPdt6zhhzRiuUGX8/jKfekKvlzEo
WnVAWOA9hHj8/Ufx8WVoVtz5xzadFmUE5FPlPSyvW/3UdwrS1gpV2n9A5z/8jBpf4u+PEsvqIXsK
66dfHST44beDBAoxcdSn52BYQp3Pt/anQkyD0ihib80/Uehvun26EQhrdE4Yf/7U20ECbzR5z/DP
lP8NIMxPBwkuT7+adpX4R4UJ4MMzQ00i25FXTTyT30rbm7WYbt/dmF+8w58eflRoOv8GfVAkcCqX
+PSCTYWHyrrQFHyTEnKbpcHmXxvMTte/v87HTyKa4R+vI9aSdy8y8/WirEID85iIkq72vfX8+wuI
DtD71einK3x+v4hfVVvgT0d1ACCpX1ukb5Lh4EgYwbsFDSe37u6Kdt2Gp4bKWAm/R/RfUHbk5012
6ePSbtARobjHMUZFft5Gl30aME1Ov7gVivrFb/rp6KaFdEn6StwLinj092XxrUU+nSv6sedYAVh2
Fo4vFnbIkv9rm+EXzWKRqvLTrWIkapgyXws0/U991sz2laaTrfHI4RDdoULc3j5m3SKks9Bpnjiv
HRU6MtuKPBCj7S+UBPFRnwFn7ET/pRKdGLVAcC3QyNveaUiTTdJbNdW26HsxFKpSpFwPWsqBMHag
p3hIErMIzrlZbYqWTN+uXKI5mncNTqzpSPjIIoXRJxz5EFNWFYSYVD1xKgQldFsDyfXrq9q3DxrC
ggpZW4cJVMV8oRmGa0EGHqNiHjPJL4iQNZFHTpjXw1FxW6WFPpEuINuN5W0dpbORgWDZZzuSAs5J
h4qGdNXh7LhODRA1tLwWOcw22JiUMsy9Bn9mhL4+18MSTL+NwTOPk7tGQoWQTtXMMTx4f76+//3D
/Nrp/ut0Twfh44uvf3pd+tDBSTjU01FeaWtvM+2bb9rK3lTHeqbsm3XpgtefO+641NxttUUkPx/u
pE28bFbyyjyEy+jw+19IvDx//T4/v76f9kidaD4rFY8sxw7KtKwHhzgDBiJ/sRz96sl8vxx9WvDs
MJ2SIOA6EuFTV8NzKeRyLtg60/viJVDEQ/75I71/CT41aRz+40rj9H0MNDc6cchqB5ccs75ewOfz
j0ASfn8Lf7UCQhHDPw9sl+bTp6+UJIfBshJNPfZRPcO/2klf1DG/WgDfX+DTvZOz0GJIo6rHupuL
TPJecuvhK7nIVxf5tMo6A+R6ZoDq0el2U4mv6oromd/fqF9tSe8/x6flcWSvrpCnqkfmOLgryQ03
L5zozMHu9Xqh/9tTmkP4VOV1/tL8N/EvP+UY6kM/aP77xz/WP/7sf8/FWOTDH1DxMSI5b8knvfhe
twk/+kOeI/7L/+pf/q9ByxXKvH/98+EZLQH4zqYKnxq2lx9DmM3zv/75ozxSePj+fXm0Qx9S//qH
3sqi1/6qTodUURhiCjrDX2WR/IcGJs/UQNQx4eQBeauKzD9wDZEAg6IdTbsq4HpvVRGdVxEtaamK
8Vox/a0ZjfWxlGZ1dDQcdkzxZTQ3FC2fViPF0xrkHRbw9knSqmvVCeCYutmYKvMAWCimRXzIIf7j
WLstcnMgybZPzmVJg06gJSl2DQ5HbmPJNJNG26zLTZpXBA9aHYYwGG6YkDg9bvH+w+LPk3yKz/M0
/oZm+QLz0P3Qq41radrZaBKjoGfo4SYRc+eXwSPB7GTCy5k6x3qAgF2W3KHB6J9FscthFMCMVl8G
incrlGzBLpejaYTZlvrDTZzAQEvDdlp1ZEsW+Ry992C6eUuE30GXRszJWNRCPfQ44Cf9Qm5ozHlZ
Vzyq0XTv45snsCr1XKXIOKeGvQt3b11G0joMywaxf/Yoa1VEwgUay0lPr0NfelIPRTYecuR+A5M5
uq5TjKTNu1JK+zzN5YVDvEc0nSuNed0jzKAxs9AzBNg/tpf/22/i6nsuBo31xzfv/+UX0WBx+/cv
4l37+PDzeyh+5u09ZFjKHEMoVnipWBRZC/88nigksIJAQ8eAwcUUjOS3FxGSpeboBoIAsJSvtOU/
X0RAzIqNgpW/Ql/M2PTvmFiYqXzYREWdYqFNNHXEB2ieWCz4+3dlfdJUyOvzQT42UX5LjImxMold
3sFbgB9pK8W5gUN23Wa6cyayPJd5Tr3ZML+scrDkfTaUs5D02X0lRK+6DTK57s1Vh1E3sYfiUE2S
W3QyeQ/2k9LF8hwA01ozW28+mf3G8ewlvDt5XtAjb0WRmDlQFq1ev+6zaq2HQXZV+n7LbLV4Mnt7
l7fFdaWgLtZTLZyZfvmUYCmZ5zX+sLLv1wNBfTT88iA7ZxdHIKzrJ0kzd57Zw9TtZRCNveTNJeYC
9PtLYLfNg9X6T15q03QbM3nhAzTf2Jkj8O/SRZPYyclpKoUcp8CZJRoKVm+0rLkXmrpLUgmVlDcS
lwM6oXK05zo0z2nin9kNSNsiiG9DVbtqcqeYS5H6vYiJIoJ8eQ07fRGW9aY1pWCWTsoa6c+zLMeZ
8IisY2c4z+ToUNOETDN/F03OlRIVFp1let+VKl8VFnCpiS+hCbB6E3RPenZjPIxtjdPbqm/BUdCo
K0JlVho0j3T5JNKo5wH20dChVSGlvd1vx5EGIAadF1mAjc3szJ7CXQeGZKNF9UVrMnMdDLmDFp/W
rgVhPyL2aMZUG3RUPMxKSYJhzLAXvoTTJHW8tvMKRbBgvziCApNk+Gs6k1FMxnrjg4pRy06eOQKA
IrUxMubQeHIEWaYc1ZckN0YT0o/gzkSqc5YIFk2WVYA9Ytr9jZHGyyzBjuzH+TEQFBsZnE0vuDZQ
jwgCHPMXontArSj5tq3UsyIvMiYM1PgYesCWClaOYkirSNBzOjA6JjgdUCutW2EcKNWA2DsisGe1
z81NMmEyAshjYfLB/v0IznTVglvf6pl0rgiETzAuWpA+bTnYbhabmOqbStsA/GeSnW4HzBw6QKBR
iY+6RmXqJI4YL0XfZOBBRirVa4I+cOYAFmJKbvBrq3sPZQCjm5aWewlgsZXlixQwkYwhvoyjixBg
kdkmd71cPRqCZKTESo3aHutVFbfzyuzJWQJ8ZNjcXEOXtpBn9JUp6Eit4CRlvrWXS+XJfiUogVIq
NHwynVIsC+wMoGWmcj4CXoo90ie7TD7rk/4x4F4vBP2ReB6cxLla3CI8ODi4e00bf2igkT2jek+N
zNiiov8tJX3pgoLN3Ri54TDiWhmdJGZ3N56b3jj0GNOgH0b70qtUcEVp7Maq4PnU93ZU7mhIXivx
dKNI9Tm/H/MRnbDZ3jlUQ5bM+YXn/tT1sC1RQJQDAIFJvqgd7X5snOLo64IfPkjDVopHaZOnZI+B
Ed93cXlJuOb3oIgvbDMzXPjUDAN1zas3nsW/MlWBscYTtai8siWUTko2aQooUga2ayMcdkt8uGRp
opNPcx7i0QZ8Ap+XnDWk7LR3E6gm2L8GH+4NQ+WZZ8hPZNRHPw49/9lnjd8WvDfUx231q62WH3vb
ahWbXVNV0Rgxs/+B6XjbaqmGQZXRHTbgk1NzUo++bbU6uiTg5SKH4M1h+lbzan+wxaLetzTUbK/m
07e6//TjHMqR4d/K9D+eu0TJK+QOClEH/5O981qOG9mW6K/cH8AJmIJ7baC9YdNTfEFQEgVX8B5f
fxc0oxlJ42Le5+3ExKFIdjdRtXNnrrQ1c7FC/XjQjqoS9nWdd5d5Sr2qJn1OwhDL8T8MqQicP5/o
LoVNGCqQwsnHIg/9+I1ItveVlYjyonam+5hGFU17mS0h0HD1N2ldavNO7Lkez/eJTvSP7b94Thw7
/FAWCYJROLlHzc5gcdi1OV6jyQA+UPSFb02h3Rz7NGmM136sLOc6BFXfbxKtEH4veg7kVJFMx7LR
1nFZFvq6GGTXe6z4qMSOmyCnY2py16Yz16rf5J9MKYaLLUp5A+6wlFx8UzltioBAmiQWrkgMCWAR
hsK4UXvNTE+9TG7qlo1ghnHKi9yroanvZFY+51W4CRq4Emxr8mFh41vFVlf5LZQyXrtAidxsbY7Z
PgDq6hvQrfyGoJecqi+Qhe/mUlw0vfzSGf291ELUJlEnH+wUkIQbpt1Zscv6UjWmdZCxey5dStnn
mWd1rijGF0F8dSeCSL2QsinXrN25E0nFXOvDIne5F9JPgCN1h/qqeAZEltuPk6a8SJ2EVJFEUEfa
NtQpVDD0iI8F2GfdUemjEMs/0eo0+1j1Yy1a6JCWk0d3TdgrIIm0eu2O6vgiZExlMV2G7apJOyp1
lRrQtTnfVVbrHCJF0/4hxrDw179TXr5+lvFgUuDBOgQ7sfmT8lJNNbey0akvzTp749DR7ud7e6Ws
Ko8G+B1Al8gP19nWXtfrfGUeQF+s9V3g/aOU8ZPY9NVOCMXFxTSNDgo+8MePukn+uSMsV1wCPTwA
kR69NCQ1Vg5CZw+UuuuqD4xNTQCUOctRz6FdBweN98hKq8yb7OniBurE8TW/tiMOuIak3KZtyw05
yVcbfxkNy9zQgnl8riQXML0ml2gzXfoUmOgrLUKNNOlrnwyai7WcHfLsVYBEl3TabqbGYOJgE0se
q2prPhQuF48s3yWjwJvHnaRQS6hk4UkP6FhK81gjP0b6JEsanz/iy0DF3LYKCQ41RvgYcg/XjOzc
jQ5MLafcqikfNNutaJdWk/vvxphfn17fbwZ/fIg47LrYmrBU4HnJAGL8rHW5sz64ZRYAN4H0vOVB
IJf0IDmtOFqbRYz3sQp5XP82Of3Jt9SXof87Pe8P3/Ond1MZe7vuoaISiDQ+mDCIxi6kULCxdyLD
7F+BnQitmra8Ch+nbFquOPl0mgmUrhzFPBHge1EpTCF/oHwJUpbpVXXWC+tWDeZPZli9ZkNc+VVe
lcevP/h/Z/Ky9/jtHfyDV3ifT3+ymlu+5rcD2fwfjl6LPdtvrQu/Hcg0MsAe1rHx/QoP/e1Axg1s
UUtEtYFBF/1XZ+C3A3kRobDJYgDXSYOgXf2b2Vezfp59KW9hKcfPwOPUYAX+kxRKvrzUyBa2lyy1
IiZbGftjkQlnvp30fu5L/mAjELtrQRIkAgXSp8PaJFCsgQZhWBw8McWGPMK3raYbkEwmDl+nG0yG
RG20Kmh1powM6nXyjNpewXOa7hElSHrdVwK3yGF1WyyP7a5z69y3YfSJ42iaA1OcplRJ8wait6Yx
ooVZ1Kje+AtCG2pivU2a0j1HlRrtQ8Cmy+wrHquCKJYDV6UC0m2uRJpgy6qG/og/diK2GecXW6bd
HXUvw0c1N03sEUkUfuxFPcKCV7OFE1+sJZXsl0QxxQYKUrSzhJaxwxqM6Vaz9WDfdMVwTnN7uBC/
bX3KDr7gK2qiFe7F+g2EXuPJVuidFwUmBCEzaR/0gactr6DJjVi62z6Swwka6CoAWIOaJYw7Z1bl
ejTCaiU7lacjcdpxZbatAgZLnS41gDCo6UmzEaVW0nPUQMZaEX76yNvEMiVQSetppav5rhvpr8Zc
ztdoBv8OSrXTP6aiMY8dbbv7icvLy+Lt9DVd16/UOYX+7GTdTdeln3hJ833lWtq9hqVFegl717Ng
k0Nau4guE81GdD9igDLjptm6MCvXjObOBe8Ms0NF8wLiRe1FRjh9EvQpnCDlNE9dVnSbxk1yGGyx
fibKKWmljZp0M1Fhygelsm41Wmg2VLA1VyM2Sr/t1OJIUo0AdpMeKHelxcJRHOzT0/hlYMTZOWUW
Hkaew/xsia2c48BSD1ncSOi2k5TcJ2iSqyYn35YheEcBgoxZvm4ZdEiaHGStWE8wfp5BsOknncPk
hh8/IMafiXNT6GLT1rV6AzJ/JMA8JPswzuEWAfY6i6ac7qLaGfy+GWiwiLtxTa1JgK26aUL/vyer
qhomd5W/e7JipCaX4cm3P5t4li/99oBFXMQ9rS2psW9dk98esIstAvwgUZyvJW+LLeLbxMMDlooa
A4uDQPmD+fy7ym9hoia6Ac5QNX5RK3+acP5u4hE/bei4J2LS5jGPSmmafLflh/heXLS1UJOyNgsC
wzACQb2AHRvI2I5jDtpmDDW6FNMNLM19nuU6gmMefchc+4A/EjpCi+20uNhdtU9M5WZWgrUqMny6
iV2ciPAX5Dvqp0kVL46LhEjlMzc5Qgf9lD5YNQ3oajuvoLkh0RWJfTuGBp0z9ZyU6lo6loqH2sQW
rY3qZY7i3ndn0W8jhngvNaFV5Wob0fvqrueEK4cWTr6GdD4HBdZK1UQRhWzLU1xcxqmk2ph8g2e5
jelHI2U1fa8+9lpLlcm0ZtXAbc6lStaC6Qlc0fxk8XuiQPDvVu6izfQACdWRrFSQJ5/c2HXWU4BY
1WWoUXLCP5uLYC9L1gMEEkGmKupWhbFyNE1lOAUxwmTAtdJjZHmMKx7Wimw1NqHJDX+xnpkABh5m
/qSt7gHPteXJtHpcvO1ltTxEjeEkxrjaGFXQrQAQdH6uSBDRQoXJAMOHXvXuDCiIs2Uq5GbulS0Q
uIOZ609Z0rPXWwwPA6v2edB2tlHhP03jz71mnMN8vsw6IJCOfPwK3suLbBUv6MizpHF5ouw2IZ6v
s6tFg1PmsaWxG7tEU+DFK+HI+VK39klr3aYBkAiDdglfn8N1hXKzQff7VOkw5XS1uej0Q4tK2RYc
YVkW32iyOxoIf14mmmPV85kJuuZaxYDAnJSXRsV5uhb4ABvsu3ASt1VlnG0zYvvuFopX9UmxS7Xc
T0uFAjCF1XLRnOeUHYxZ453tHOsOT90Z936xrqd+RI0GpqOnkA0MjrSVFC07aCroV5LW5wbjw+iO
0aZP8nMogtepAj0iaV4OyRj4Zqs+iap6TQyoIppM/KlqLd+Jw9sQh7E2Zv4cjsye7mf0vRJTd8Nr
2Fj7sELenS3z1HbNTfw1w1R8zTNNowSUQsbJTcundGn05JA8NvEsznmXloeEvEuRqnetWX92ysmr
Kxji5GIoKfZLcjIueZma3ExBfiYuisNIngZ6xrVfAjZVQ2G4XEI3FukbjN0ddJUBlTH+ms4RFCHe
69Z8DquauhEJnSmMTYqqDIvvK7alrLeDPTdr+B+7YTautfmhUbCzZp37mLvaSiYAHXTGNTA9tJ/C
teYo72amx57GnMnsbrk6ruqh9XVIRbhNSeUGVXA1mvZEwp8YAM7toovvbM32gim8n8uRBtkaX3ZE
9Gql1yDSBRDjrRtqjIYQYDZGam1lGIe7Cjsmjs7IgU8iiSV0fHLyElBlTt0XOn12pWTmxRb5l6JW
P2eOntJmI5/mPDyZWmqsxqoUvrmU3Kl1YEO3KT86nRKc3DQ6x6PDY0JVrxlNlyt6ALUbtpPvBhvC
tToP712zcASt8c4YpnJv5P0rtt9NJSg1jO2zI6uN22BmAsRFN6toxJbh6DkfgZtS6rspnWnbBwVx
j/rqxvKoWslmbjBqmRV3ObuNfa52O8qy3ANMrEeH/QvfufdYQj1oKv3fkYnUMVdauS7HZFxXin4e
+TO42oV7RwZrRyNP7OWyB8IpiZMt3LCYSzA3o+UKaOMWThtBRr96iyp6I9uJq4Yl5RqsKVm2T3Fp
3zWtcZfymnAOaEinObcU6Vwhs8OgAccZ9Cm0joBlQj8PsUfAaxtV2IfjRLpUfiifY/45x0kr31yw
KmYIA5o+eezn/VEoWr7mDZ12pj7eLTqxlgGDpDFI8zsn37kjXTYQP8I9qy7IXX7qGMeIGJHXSftV
bWaKA7MaqghScwhERomqez0Otjglai+MrG49UgG+NNx+SvUo9pQGvJlpz6ueERMdr+ZTU8J/GU9C
bRJPMSriaDzr0/KCc13uS224CdvxTqV4neXttDEt+1hU7k4BU/4QzVO3GTr9PXXJMze2fYs7OlnP
kqqM/+5TX+9TiwHuryfV81sdUz+GHvGzzWL5um+XKTRidF4a+xyGVsFs+N2mFseEaxoMcIIU/RJ4
/f0uhZSL2szt5utMimbxbVi1/7fsaVUX2gfb1aVw41/cpcjO/qCOLHcpBGouZyRl0aqxdPx4l0pq
JdVtFlQ3mTqL4Byx8HsdNZXGeLPO8/BaKIN5mLvKerUiMdQ7V8npIx1GeDfAw5onNxLFvevG5gxy
qBuKjZHb7XNjdFrQLX8GVGqx8hKx8jTqGNvHcBae1HnE6aN1dZgkOsihXW89hHJ6G8L5DbYr9Prx
zmqcbM38sdUlZ68+2VyXUms99oHfKfUhshIewM2S8qj7xoPq+pZWNVjpARhBp4cNmy8w+NPsSHie
zkbmPSnUpZbQ7Ny9CIGY9EOwKzOavXrzLostzU8N+/MUjBc61kKfheYbqs49y6JXrhTssSD8bSjC
Q2LX53nrxC4Y/b6AGiLMu8SyT73TYHSkQdzK5SmroddHlJVB7nV80dhM6nVIo8ZQ0mk2p3d9VT7S
gVGejbpf0jlCW9VLh2qdTQ3dWj3tfWSDPdTZCCZWKE95kWEnYU1m0cLVaGrpd2r9Pjf1BESJ+gqn
6XaySbaw+nZa2vq0riWbSXE9IXhqYs2imHeJ3iS8BlWgDbRwOeYuzvlfoh9BS7nFUx6ln+nSu3VE
5Dul/KSl0YNVLHncNhGnwAz2cA1v47KCsmraEe27S5aMoTBcXCKFFHeRZT2Imi1jaNqfrSI/zgj9
5YS2SI+89POceoGyL5JVEY5HpEmPBV+/EkW+lbEyApjqqE+gkaCr8qfEaqRvkfbfaGO8tkporqY1
eMrAgBupzkZUdn/pHOon7KnBR1qLfZta2ZOTmaPP6vJ27oFTcnJecihvbJYpG0um7rGeko9BP5g7
K2JhYlK1aNfOM9HvFzsIPb3W3qiZpHdy+THU/k6ZmJGD+Uam8bqJ9Y0bXPmwFnTHdyfpptd5sl5j
y6WaMKU4sebWS69T2u7Vcjq2Fh87zUxOhc5ksNzNI8V5VghyrVqyJ55Gv4yn1PEmHdKLWWY3hkuH
lGtd+8YBOdXX/Sq0xYZH/yutEISfdOJVJPKsAgxgb91MMdzv3OqOihtsyJQURO2aB9iSHy1lPKMD
vaM9PzStvSfWfkr6VNurkY0hSLrU4BW8D0GSfZYa3EsuwRikRtn5VLzd8MtDFRyil6o2EUHU7EYP
tGuFfFO56UdFodW3YD1uRynkOSO7tl3hnHIjOtpZmz9Hy5ZfTpzpiprLoyK70jMj0tyBalket8i3
ATcztdPyVmuCF6kUk8cASRrbFTvXmU8yb8+dBrmvEx8GK3trDQ1eHd90YHtaxr4MXBow2ptGqlth
iJ1RyhRIm6TxzxKrXDj5ZqLHUOiLYqWhmJvRwe1a4xhrdX6L/TFoDmOvAfydc5pWdGNG46nanZY4
z13GJSIsMjI3kM0bMvpqC0WTnz7MoUmWo9Cv4yQOkDq1S8Qflsd7bt7k5P7oocAqarX2+DxXeXhX
a5o8JjiGty0vwXqQitxpNjG3kgAtt9AmAPLWW21EntMgY4dbAMtyqWobJWFm+e+Y/uWYRmr462P6
8t6//ZE9QYkCX/XtkNZV7FQcjgB/lzr6n+xU6LhLHYMwUDaWAqlvpzTbX85fABPsQ+3ly38/pSlw
UE3OdLAJxEgwQ/6bQ/qrYvz7CoNDGryFzaqXUjv+Pvgpfjykgy4ugWvH0w0pOGOiGp2WJIo+W/dx
ZKOyUifyha6en9BB75xJfJxKqXg2Na6rIaIlaIob/lJb90DV1A0+5AIwvPXRjdKz7Nynea4ejSH/
AjRvw1J3kaftD7Jkx+lgFUJZmbeqnp1g9EEHhP4NnNa4DGoFJNLCgVWR8LJCa94YhUVKF+SijgsR
Q4f5kkr7KZzmj0rg5B4p191QdY9p3F5rV1xiJ9A4q5z7LB0fi2IML0HfHooBfXxSmqPmJB3nXr/J
xoLfmaoDBp3K6fYgODYEZQMQovkmj5Tnrow9GKcrEE8X6YQ0TkSxzzFDMDRnYzzTPESx6qZy4BEb
nIRU332myvamSTVrFaKxU/6dwfAERa+VjTdXI2dGYnAdtwQo+1xJ1q5ifsjmVF9bQ2BzaVflwS5i
168GjDIKVeD4Upa2nt6XmNZ8dxIo2+6MlNzdW3BD13NtPtVVX6VeSF/rvYs5rHVxlBbwBUeraeZH
bRjQejiRq8g34X5Ea5nw+EcHgjTOczGU9PIVSygE34lj9WvY+1tVjpSG9VRAAFWlACvcjqroyT2w
wQtM7VHYzGrYT97LxDxLtXFXQNZeZ8FaEGQcUPige2zz/DWW73VgQidGMTJFs586HDa1jfaU5LtC
J30fpSXbB5u+C7XIkGyYcyL1eRLWISsZzDJzeqs0s3oUGSzRTNxpnJ1DOew7fdyOSRLQfBzQxBwH
OwhlhRdWxnHqUnqTFFCckzKhIGfOk9LDqLUqZTO4OnH6ng7pGL9UMOxnF+O6WpTWSoQ5dzMUKC5Q
25gWxJVqz9dcDzZGB9cRMXwFHfFplvJZmvoXYCVkZ5PqRXWKUx6kj0gEH8Ksvo4RjaNjSyY0n1+a
GuVQpUI2GBPbk4JGr7E9ZMzTHh7aF8IoS1/EWzvFa1wSR5p6qecpP1gxikFAZtdL1ZwlQy0fOlE/
Ro3Zr8pONPxo6RFK9bqcKSFp7Q8VZ8yq7qxzzeQ6R2JLycOzBoR4q07Ak7vu1XTCO53yXVvLbwAz
3owlfZGVNetURuNdqKz8NKc92hSh5fxzSjC+61tqOYZgW8RkE9zFkYfn7Rpbpu+oLDfdxbXX2s3L
vPj4iCC/UWiWe6aaEsnH7KeRPV/1/fRgLT7AsZBka2v7gcv/Ecjoh9mJzhLroKErW23xErqYCoNM
3WUuaXjLrvZ9l/EBDBYuLT5EDIkmNhH+oLQHPsYvqATRYnW7tJgYcVR9dpl+14kyXItgSOFuasKj
7dfGRggtQC5+SGdxRprpKK9T6t6lXOlWNEZW+6CP1HUGL2aTW+7HEZNlitky0HBdBqzVfXgUODEp
L1vXiXksnUZcZ+yayrQYNynxTu7LXPsUTAgMNOZRtVecEG8/arkGJaebKHpzlXWb6peoDROMjlED
ypebBJe594JiL8wREb2dabngnisXNREnN3vKlmeRrL1A1KdZo5pD1w5xp+2jqL2rwx7ZZsDAN6Pp
0uxRZPyWMXJD2Ua46WZF+ADB/CTKOo/M33+bjl+CDCZb/r8+8h+6QnJLe//jZL583bdDn8lcY+3G
UE76wGE18cNkTuCXLQaxXEb2hTDz7dB3aL/FWI25C5ojZz5T+++jucV/WJwjtNy6kOT+zan/C6Hv
91P/12wVNgltYRMSDmJD8/2aQ8PtnylFlt1QbXEwuMSKnn6ckWvtjI100y833YQrL0andAOGdKey
k4u5FEedss+RfF0uyznci47L89CUbymXaRC5Xsrlepy1U8hle444XdLl/h1h1Wq4kPfLzRyY1ZvL
XcTDj8pZstzfZ1qDjtlyp5dphDlzuecXXPi7X27+qJjLLOAuU8FsK17NmGAp5oY6aIzMxQ3qPrq8
m7wMy2RRMGJw1nW+3qVLlzfzR2cVDIxMJOYYUSq5TCnxMq+YE32cDDAGg4wxje+TmM90FXyUDDrD
hIEskeG2YASyKMZcFQxFNMgf5DIluZH5aDA2zUX7OkTWplnmqZol+GpwnSutnUeZse9h9EqGZFMq
WuB1y1SW2DiStVp5dpeJrZipYWSEi2pAVjNDnbFMd5CYYcUtEx/DDsD4xH0d7exK+fBJdE5xKatb
timbjKFxsrUb23Q3nTHeTUvbXpLEPGO1N0NjGSSVF9rtni3GUKvDo+sukylplI8xo2q5zKzZMr1q
Y3KZlnm2YrBVx2D0m2XWrcTe+jr8tsscjNjfX0JG42CZkbNlWp66How89ORljo6XibpltO74MYKK
qsJ0mbrFQBFVjCe7dsDDqxPbDd6HJKHmK1mm9mKZ3ycG+dgpjsMQfBYVfabxMuoX1p2C+OUprXVy
FzWgW3SBaFEI4jq6U5AM2NWLE31N7PKr5IEU7SdsaFQbZAiS6eckr59CV6XVXTfRJPilduWiTrjc
Glnlj6FnI10Yi4YR24EnuTJtyrjzZ2QOc063XHh2qU4bZ94B2Neb7t3BguCLRSVRkUsKZBNXK+WJ
9GDkLbw1D2j/sMpHrVkZTY0q5CDOzLQf0uLilmeOJ6gt6V1Qdo4nVGSmIlbQpUcHwnuXUyuJtKNS
Jn/CwbAB0PESI/6YiED5ogbZiy6kaChE2aIV5Ytq5E4UUaBrv5YISg7CkmEOcBLNGTNl8DnoFc03
EKHc0qG+NdgNBiqvFgR7O1XQq/jQE/Z1NuOiZdWLqqWHKeVPi9KVLJqXMk9vrCEZ6Bc9TPKKroC9
HdqeWkskM+2rdraoaIwXEIj1bD1BjGaqX6S2Hs0NV/Nbu2hwY/+QSsTt0blink5pdEWuGxbhjnDy
E24B8HVoetHcbqKptw4kiMCZQ9rgbe9DfIvTG+/rdMAZARmqFOxNdMPXFfGujw03UOU8kk5ax/Qf
rNVpfmOttZvK1vSYHSberpjL/4BCNNVs8/RquM/soaAqjsJ6vHhwTA3yEUNPndLQ8Qnkv3/RJV30
kymDVSpiBAyp3FWd+t5kfCSElcWHwrYfy7q6NJINCs7c97JUb2xl2ED8tlb0fYk1/ar6xqJThWaq
+hRoYKyQENiKzM6xyvml05xPU9fmH0TG3axQeAaHseN6fV8LdI5wF+DM2BUat2ArLrYuj0aRxpsK
cI4XReI8txFSBaWmpk1PAPae+yHJBpYCxbVq1G1Si4dy5llZYBIJK52KOgdkVWG/0ZVA6XV00Pnl
/CGmKcBUu0cFuqsXMNUwJEBdqk0+1GkTfOit+UPdVndRI8JdCGCUhUq3znjAQSvp7ktHI+OW8v4a
CmqUQcflYC+h9qz+mNSSR0VJMah7w4NuS2aNpZVoHqZgeEr19rmuHFanafcs3Fndafqg+RixouPc
JL0fO6CU6VnPkPUAckjN2NdNcp9T+TCXXeEHqfZhSMflepqAEnBherkpZcTc591af+qt26E5zMHL
EB9FZNzmSbUipf6UKKTRQGBZWt5urby46OjxAJS1Zqcm1rvGg55Nu3vtY3r7KqEEdHFAZrGtOV5L
O4YgKLBEusOpKeVd7+o7e5Q8fuNpPU/aIiYeo4I6kjjsnu12SlZq1R6q9kIlOepcR3DPBq80GchN
DIxbvaoTj1UtF/Z5iwEhOeWM2LDG6rM72cqG9W+6YcJMVrNmEBgpHd4tXLdDGR5M1yF1aznRvNKK
0K1WE67cnRiLd6LN0XnIW7CP7CtN+zkhXrCtgbSw/apm2qsiNfaihvfZnmZrFzrtOo6pLeD5dQja
2b3RjLq4UWeFLlBgP/veji6yjhznrRPTtJ1H7BFR6VRrDo9k4+JozkztrJfmnqfRwQr46LCFWNUt
2COlFsYT0SmeEH1F+02j7KJKXIRoKIGM1Hdjolx0Cj9y5LCQj0a6KxQ/c+DJpCq/Oj9jY2iFz9X9
0xgzK9BkjV2a4EsbkL3PQ+sFRk0PfJKRZaiidaU1BUuueQMWDEambR1DXuzyY6seNBHcpYG9U5RB
v8S1fWOUSKVxl2leKtVHXn5OcU2+s1g89EQmNmU13tYN9QBO07AutVEHRjWFZIZSHksMsJjWXnIa
Y8kO35tQgyxpPmZudZ2gdq6sOd0PgtaYmJU0fyf4BcaN1pYPdiE+8XC9tu6Qe6SH6F+zqjtNqTc8
4LQtjm6ObI1ddoRtgIrbXW61Osyj7MbG57BKKS9cx246reux5fMwhNKPrJl6NQuX8yiXOkMGxbjQ
3+aGVIgchq0dA5nClnzhkvtS1+VptKVNalNZa/HomYNDfivZ9IN+h6Zw5C93x55Ixa0XPZasZ70k
ludB46hNqYYN2iO0+2f6d15wxXBG5PZzo4/nYmRRiwtNWSUwOAAWhE+wPnMsgnI/x4da1OcxDDfl
oKd+FzvkzyByWor12JX9eR6jFbnyj1KgGqRA8BpjOvWj0+2memoZnq1zpiH6WBkPQiXaqmZs+YjH
u7TQT4M6H7vaMLzQxExhzdZzMmTZ1cBu54etowChqnW/j8Cz9Z27eEZ08GdZTqNoQ5QGl/+uwZbu
12ry0caC5jljd7VLlqcuq5Rt6DbNKavqaWkWPGLroV6YlFUqIee52ZBw5wxa/rhM6cziwWqVgxXb
2daKir3LbYtumdJIrNXcUwP3nwL7yzimoor+9Tjmv8v/uwAR/JN5bPnCb/OYbvwPFjtTxULipNiG
eMBvtjPxPzA0NLaxpSR7LhiFfp3HhI7SCrMTgdamP0c3+Kpf5zEB8JN8rA2JyjKWHeu/8vUy131n
I8db52gmlXBL5NZl86r+NI21AT5ROee4O2mOVtP4ZIepZ/TT+rtX5s/s6s6PG1l+kwVBDkIIThAQ
LdP+6RspoYpTLEqHq2la6R6MiiPWFCvhw8xiZFWMZ8pgUw/dFjfu1J2qtHy0dSSQsmnpa4KbuU5r
LT32temC84OYb0w0uCgmx0sw1C8MgqUHyBBNcUnfRY28J0DqeHopr4UaE2a0iY87lV75jtKHnkF5
PSYVLkIZacOEbGdOZs0n9bszjDTfBFa/0YXZ+t2MUbYhwVna4pk79dkVncuj0XiJ0BW9fjTvoWDc
Kdl4URQTOYh5gwgiOD3H3ddufxmCjHiHqz0GoSNXKsqJjysCsm/f3prKvBlE9+w6xD1D+zXMJvbP
GezJzs7J28RXqjyPlp1Rpmiz2HODettENe9QXT8WVriLlxJTECJHUtUf8wFTVp9xMFg9ED1ZjCRp
SQVgsSpynvrzKwCz3ptFciOceuN8te2Uho/W/drZNBo1Ic/PrFtx47uzq25rcrcIrZClXt9k/KCk
iMM2F16km/cKaryHXuR4tvvqttlaJXDTVVG1ajqBBZoedMCzNu9fsk3t7oszgYSme+Ws9B2tRFgY
/YoSFI1YiT6giU+NQNbXWBlq8lrJKNlgttvOWGzDMAhXrSa2bs9rGw3IvIpl9n5Zua95b+4Ia94V
OVwBZoUnFt5wQxv2dKBz7puh25OE6v3aUD+p3GhX4TA9yTg2t6Mxg06io7mJEibEuf6sSf2zDkfT
S0dtV0h3b1MU46WcXFlq3map46OHWyfboBjJkvknzJEvkd1EADiLB4ukl8/mFhJnZ2xtumt1I9hQ
We/Waz5iDIliiLjVRdUbKkdYb2bcl5NnWhiuNHVM4574Sx02OzFUua/aw0ajtY/DHVanlCaNCtB9
1EDbc5X5PKjuPjbptJ4LBr2l+uMppbkP0uCggb80Y7qVOuimfproe6MUO8Lkl1YN15NTvQVWfKel
yjs8X5bHbnNb8Gl8wMP/MIZN643u4BcDAoWSmejFQ3/CjUrZXAMZibsP/UV9vMC1hw9WYjfwOstz
GCNQNuW4cxDoI9GcyiSFdNTshqF9mbFprkauxn2iUrJSUNLHn6yRp1epm0epKHsQOIJNQBStmVaz
TdLHn61hynDKYU8YO+0uaq3tWLTv6Qy9FbWRzXBJldU6e7D3kaiPaavsJst+G2F6ziaBQfJ7zWqi
D0/c90OzQ/c/lEW4kkutIH3eeKiITbuipSnNWOPH2/U67jYtKmhqLfutYSftRtUo5At78bpYGMg7
DX6g4K4QQ7ntELGnAqdIAdomnsRT2+J9L5VEVA9F0nuhI+qABUMGoPAfHqM/hjCWpyjHxaLdLSgS
gps/eYSbpjFEMFnTdSBatRLb4DDeF2d8nyvlLX8u14CAvWAVHLktsR/aGvu///4cY9+dFr9+e9fm
3NEJslnmT7aaOmAeVqxuvvb2WxnsXbWFtfmKmvfLjeIv459/9n10lbQmu0sUoq+pze84C+y9qA8c
+/lKiWA0NitKpN1wDy/9H77Pj6ffL78PrydnoKaimH4lh333fapKlGbHJHK1zGNt3ZRYIiPx/Pev
2dcyih8ET96z73+ZnwA/XaSqjZ4uL9qmeYq8dN3v1M8ORpRVccZ/HK7uwCGsso2+e7w4vlxdeohW
T806WN8mh2G1q/361Pr8H33KDP1i/fT3P9+yIP7Dmwq6G7AGwq+L9fxHQVZ286zlk6pdsfNdglt1
rZ615/CgY0nxOn9aHT5o29G7VJthB6EoO+IuvkWF2wwr+Z/j7peL5ILs+euL5H301rRvf1T1l6/6
7RbJrW+R9fFdmLxVy77+t1uk8T+VdT349f9n78yWGzfSLPwq8wJwAIn9cgiAO7WXlrpBqFQSdiT2
7ennQ3nKXeWtw/e+aUdbFkmRIDLzP+d8Z93OIcz/Zxep4aoz+ESZoxnqr1rA912kCgjS1C3XIa/N
7g+b3j/Q8s0/Etxw7fEo2G1Man7h1P98EYn1yaucuhQ1t5l1G3xVNWN8BEke7bpaua5igMVYRy9Z
DtCgmZ19TdkDpx6kZk5Y77iQwcm6D0ZW5mzFasZJOh16bbTQhavvnbzfWl3I0VJjVeGfhbISvwqf
hNBLa0K1SGAXYSoL2glXrZ1e5q5/p1UxGF09oOKVc71WXerJeON+A9PYZVTdSqrvkqLfp1Wzb1z3
1EK3RuHfLiINIC0h8JnD2QKWZ4/s40Tcc+w2EgB+4jUHHgm54DlWqd2zQ1yBVV3MuwbZ0XPZ6FJ3
3h7NCdq7E1ZoZ5C0dWoB4/QePwCd7mxugqECXaJRLdQ61RY7EOIjL+6kMxn2FmdkblFqJfgR+9rV
868igX0+CwTjJMI+rczhAwvzR171k6+WI6tim14yZi9+EoksAJSUMyCx4QVOcmbI4gSZMh9js2PI
R4kWhnblSA4Ly6+8jRv2baXjHrVBoWvZ7C4UFz/UuNeJodwmU0KCesVYQ47dqYvzoSkrVl2Ut1OM
wmw47kuaandzW5FqDqWNQ1InMWzpD0uRvDBl9MccH3fiIIroSXIm+3JKa/UDh4C1R141fJH0cxC3
FgH7UL/tu/gpTnn90Wxlm4XBtmexi0FKIWdf6kZQMA+XaXZQmPuP2A/pOkuwPWtkPhKeR2XJmMHz
oMfEzyTC7qaGPkjpUFOy6D1V9TY7nxL1u5vxNYwpv5cTPccHnRk7EmjXUjqQpEM+95b4BamzjVpU
L1qfnLs0OTeJmxyUSAMPb2EWN0SJ27mdhVcoOqJpV+1CXTI5cc9k3exDrrQMI9vkiirmlzqtGaDm
q8CdNP5ksJUceaHjABxHy4d9rak3QjANNMeCWEV4aqL+0JbVp14ZdrItqd6UW6ayyMkk2NjpDi7z
YFLlVh6z41aHZwJ27+0gPCWddpQ+E24vUS1Ki2HazF812zeyHjsvc4d7J8u3zKTq5aobLqGSbGc2
ltFUXmtmeSOGcA/B+1qBbeMPgLFEDju+p/uxl/FCuISQkpUSn1MK5naweUJ2k6sExoOWhVl5jiUK
phw9xbfq8BFnE9StQrcDUa1f1az9MqXgdqjttdOpP0gynCRPXIpKS/MQa2Cvl9DAZy6YVG5gDE07
uO0RWAKdKSFVqVtXcdi1VajeKGtHGWbpthiMr70JGhyP6lepD8/10r8t9pgGsmWKG+njzdwTzkkT
a/DmzuJQSTu3TtFNKZoT3d7diXtPjSunwks/1bXYlEV3MMsitTBiVJb5aVAzx9mx7YSXb8wV36W6
1DaTPTVL4PTRpAVOqRgAf9hTOnu2HnO1aXSKQ6+Uspj7e1cttO5+dBtFP/VTj/Bk0r3y3CyGGK6z
rtrLCMd/lc55AKfM2HJWiTa1urxqTXTXhvrgddl0NIyy3zZKM+0cxTqZ4Nh8LNEUlefWWy1lS3mB
hY6XGs+ZYjlePDDD5GhgHXXJxZyVDic0pgEoDPIzTTyvccpsqnPSYqMv9QcGANIOsVQ3RjlC4VeH
tS+0mTyqfy8zTc5T4hIxrZQLdLRbJexPhSM/kzn5AFDnjRMz55aoGHEUk6JefTqCXjfVETC7Xb0m
mbyzknDcdMKMA3RiGxvueK+K9Cps3bOSzi95LD4WTeVRIkprhuKxRFmjAEjME4cskzqEqLnLptXc
gttgmvwpP+WxfVEZofruJFfH9SHWdWai9C57dUKFFxfjlWVni086MApUhWZ5Vkx/tM3FT6b+sqAP
uiazWN6Fam+X5Hxa2hJ2On5Yr8L5YbuJjeOJQTwM8IeO+hwzehJNq/BOpqEfKxwAncwdefJ1doov
TGd04C3TatAaE6oPHPTiYqooXZfjuXKYpzoO8lKk2dcUJV+wlRfeVIXXLpOKtmj3Ud+9Wu6I/Ddk
9zNNH8FSRHkQuiwgZkp7d0+rYz+iV+fymCoZr7Ffnvvajbd861CpugXjkypQrTk9ta77iRv0FnTI
OStiCo4jfa+n8hPWq52S2JM3ROqhHnUGxdWda8ovCQsdcxP1ylApeDD53g1k63bhojX4bJpDpAws
Cd0YbYTpptRbZAfXnNfWEOAOjqh3rQmWj3L66yzpb9iJbEvRPQ6FtqecO/aMXnAB9sYUZGoxBAA0
alJYob1TUGk8m0CNb2XDDmqItrPIGR063lB6n/NrlaECyIru2IO8wjzkHu12+pSXEPxmySLILWur
JEu0U0btlJeu5SG/EWfkm3aKNHFjaai2SlthRS7V4rAI3IT4A/DTkutDJtcPhpHcxH36qKgSKH1J
xJGbHDc4c9wvBYVNBBBuRDMsZK/1wrfk9AYs+Ek36+u2tN8WQ3+bLBqmWutZZtGzjCrL7/TkEBbV
syqdPTiL+9ERJz1VPMLxGXSumJ7j8TUq8l1vi3c3W45Rn9xivMED2an3pbHexDEecK+P/912/7+d
hl3oX2+7H3oyw+9/3Hab/Nb3bbcG+tzR4B2s3JbVGPOfbfc3SpJOHRM9kb8z01i/2GyHbVVdQSu/
7si/m2lWKINLwQdkBgMnDiPff7DtxrH709mN8TBQBo2pKolmiC5kaX/edlNmpNYlO5arBQcBEmD/
uZlZXbOsw0A4rB3c+bqRSbxZhpdkDaKb2th6TTncFK082C7t6q0JmZ8SNh+X4YmL/jLbGAmkSO6B
7H1l5sYuWQ54JpSx8MJRXOSyFneoVuQVbXWNHPU0LtZnatqekeHmjcNoZRvmeB9cxps5Bn9KfGL4
1Q08vIgZTFKlj6ZTfq5m+WmIcTbKDnkntCzMpDhQpvKpI20fllQJ0YGg68llyOJzJ5PPrQQBhZH3
hhX1LXcjB98c5gxyidaOcoljr8kX5J45oKGCgwPYVKwRI40U46dZVHRYd+PWMBbykGuROLSCHJOQ
87WO6aF3cuvcdvnDWAIFdSLKUjPnDjvsV9KkN8QygXhzZGGAyyg6HMcrpxqeMQ6+hZ18CWswxLJ8
M4BpeX3WREGP+L5vcc5ElbtP4nZjpNFnyh6HoMqdyh8tTEVjJd9GzeV+NXd+MeN7qFbH/mwULnyD
ofGIsZ87oAa1EZ7JyvhLUjVbJk9btRmPkevuI2HezcvwkRjpu100DzpkSHran4toKdYh4pXDh+Sq
IDbG0cZnoKIuipWhYA3tJXanjzx1kbGJSEs8lV7fMNAqVPFkROad0c0hydrswYjERy+s4TAn66+b
fb+F0fdcKP2+lXG1sUxr23cU24R9l+4sK3+RRppt4aVfidhUsQXaOUQ43BSqoayK5BYDyzofV3d1
x8wtYn656Ss+NeKNzE2BMPYG2/iaviFrhUeEbXVKwqI+LitUoknDGcFxubNzczeW5ravjdozFnw1
UUZmXO0mbeOg3/t5zxVn2oChnYWLeG75DAtRRcHYLPfMYHnW0qGgZtiGan+/OPoxGTlZ2SJn7a9D
+BV5SpMOsItOTs9OmXRo8NUXVZMNKfnQa0ZYeKOa7K26UTypxHsVW7Wv2IxJVVXurFnFWwrQm6Iv
d9/F47zRB+e9SOszWwG8tG1aAcLsDlY0UxTYw7mMClzjtXkM11QvV2OxsfTuS7vqhWqDsZtk1XJT
TJY4GSVujYmmkuiQQwTW/Swbn4STNUPQKG2cPPI2hN216CibD6zE1LcW9tbywe7zTvpGVy06JoWc
8bXmFPaNEsaJhWZM14teT9FLQq6DFIo9bozYCK8qxr+EyzFzjhOLX7SPbTe6B6my1l6Z0y09ZEfC
04keoL+uVGEnX/zpG2u4/8Ydrr8xiCHLwCNuZzzpEIrlr6ziVBfP2aiqyQVgJTTjNI81f7LsNzXq
+9TLrLkhgjKG0l3owTLMGqOAsKMHtbPz9kWEQ8TuSyfs59dqYYWfadnCm6IKbIYbLL64P76tEv8S
jDQmR3+9XF5ev77/GWJj/a3flksCIkRN0EXY8TEK+nFKpf6CWcwwqLkFO4h2+duUirJTGznTAXwB
gGNdHn/TOnVWUtgbLKECDyp0jn/kPf19i+C3WCi87m/Da6ItzvoifvSeKirNzqLTousQb6M9F8Wm
awHz5nNzhVz0VGXKpiJ/wo12PtoMDnZlEV1y2e8Zxb8bylB7o0uNLnQFjqD5CQoa9DI3vZQwj3yN
M0WZIOR00uHEWuSPqosmEyaU3xlJ9abh7eKM1V91Pb0S2vBi5cWHlmaBKTpsh1H82XJzXxnG6LER
vbrH1n+KijH07BC1i5ctt32fXGHb4ySriRfOC2hoCWdNRIHWHwl2bKcu/EDyeNdzE62f4XrgSM67
RZPcyywG61G+Lur4qMzsJl0rGjxpJguDIRAVuFr9nlZR3KzxTLBafnHM9C22m6uCfcimGfkT+6bN
grbSbpSczGGOXFgtp1QmULMbBD9ihDdmmt6opY6tMck7zjyotzmq+I7UCc2p7fgWtinQI2Ypmyx2
QGTEJkRwNX3Aq38DDZzRgNohIuq5fR4L974tQr8otNu2HJttSobBV9zlFOfuMe6mUyVj1bMpe8IJ
NhwijXUlkmRqIXfLjexNhXNAS3UEDrhPbSYJt0uzD/qOEEhUdfrREat5KJu+cpSZj9EQI7KVauS3
Rers9NFRgirSz1atHSDVVdu5D8PbWSmRCerO3c6Runq/CncTKYnllX0Z30oLtEajrCeqrUzrzzRU
Lbs2wiSXV3GxzSI78bEQbm244gcjHOa9VYbUitRLYNslEIyoeOP8XaCMcmSB91QEebkecYvwc26P
rBVNdUky5jo8KKuGQ/tFUjICXIYgCTWILiWTRyHq1WYU+7YYJj+dTC7I3javSEbo+0aAjY765a1v
VOAhrC6bXjEgFmcluxfmd/skFYNP8cEFldz1ncl6b0i3slZpV+UIE0LvuJRNI52on0vybRXNDg4b
676M9c+DTW9lQrCQsaad77t2YgYQjQjGKz42nt/YGDPwKoDRZ1FJywjrnl+zpwtVcsK1kRt7pMcX
Gg6/qJnc2QpBk9VmqRQKuSWKO9Hg8IrH9ZfZNVDBRhsUSNm6oOvmpSP4AUqQoAoXbxJMDTqiPr7D
hXmaIr7zInMk6cueg6c9bWe902/ssXgZS4YaoQMjBK8ZcRRzfpwiytosrAUEozjijys4mw2ll2Xy
yZH9uBtzsPkJ5Bm6KNFw48g64VuqSXPFDJvN8oFCyuvGAt0yuRzTZfmRdIAS9PhQCuc0OOrt0qWn
ZcFKlhWAJ+OLmsJEkXOKQ42A6KFojDtVUt2n8bjbeqLsXs9Gz47rg7RpIrUyXrgb7dvROKmK+mF1
9rbN5vXWRG3L6lelEOhVqGxav+2+6qkbkStXfytGV4qfJ6bW4C66pzLCGb2d4spYQCw38l5HanuU
0zS+TKGgCNBS8Zjv9cQxPwOUNo/s1/PoJo/yiFN5rRifw8gS4SVFId4V2Mj93iUAFBsW4zrBpRGu
Ywuul70h6Xgc0yX3Rq67wIRAvuEqfOnp1VyygnFDaO0xkoUMrGt1z9iEZI4Mb51luZ7KHgN9gTNK
iYqb3IqyT73GHa6oEm5PDPKCPko/osa+bQAW7ZXR3BIRrPb5nOWeTTJJd7uvxTw81qZciJCXOyds
HhcXIiLztRvXSE59NkM7rtRXktkDo8wRF31xp2HI87oubFfmCRbvNryeM1UwQEQiRlqYsACOWnYo
pQDorpevthyYbAlGpbaVnJMs/SIgpst0+jLhyC0pPN0sjrkLDYPvYc5wzVayB3U647T2KUF1TBLl
C5AY5jKDc01fZIILM/2w9JgtcHcIS6I+dp4EWoE2jSFtCPKhZuNa4CxesGHEIXe/piiibalXDhb3
DjVdJAHb2G/Hi50+qJpXjPBiBa6/JMVTkzc2RO36Rrb4MuuRQyTeTiQAcWXE+GvNSNmaTdN6rl0+
Uhl5I4v6SrFIXEkVp5szvKWjFe9GJnFjNcnNMGHQq5Yns3Y2dPBeM2gsPNFZxyoM8b6k1TZx1UPV
Op9V3Ul2OnMWZshSg+OkEbhOmMnOw6acgZOY9j3hfX0DVubdGtxmOy7cbHXQNWkBCqWwM4v/cNrS
tXQ0yAt4fQIKCm/lwbVs7s+QRbNh4aCX3Odh8Vr39kHU/LsOb59UHjOdj1rFSNoAEuB2QzZTi95T
TlcmhUtS4adh5XzgAv1atdqpEPHu3/3ktwDz6k74u/1kk5R/nL6sv/R9OwmWTTdsmh2cX2Ei/OhH
0ZMBumBa62oCcMh/tpPOL7Sbrf1xWNownq8zm+/TF/sXR1vBIKpOioiJ5T+bvmjosT8o52uA2SER
RZecsb4KHvDn7aRj4+a2FHW5pnbysdbZ7+TzDA2tQkLQlmLr1NaOFlGyPgpGMfexkOsAoUeiK1zr
IXWMiy67Q0FPWD04NGvZdlG6QRKP1Ses2YAzhXobKWVz6LgRuj7hJ+ULKUpuk6WmD0AJIJnhnC3V
EPnHTvct6lRQ9Gl/q5b4umRv3Y+ZhZN0mK/p6kSmKHW/ipGa6kk+zLPySC3FJ50t0UYV3JMZKxws
Zb6OE+dIkN+f4/at4ZxoZiWu/lS9q1LBHFd5FENb+jH0gk3YZZehwpHWh+XHDDBuEwttS4Fo5HMA
o8dUTNfkHl/rnM2COegYCmT8tR6Lxe/UkNvJ5ASR2o0eOzltm8E5JeGjGPNhnICLxWN00npmQBnf
ag1Xfm97qhbbgIEZPGhiODVD9RSr7oti2ERqc/0WCnVA/cFjlkBxbNLlU0dSZei16koLR9YK+SFU
yMFNcudi+d0MenGuouKgFfNj1gKckAMND2xJVWWGUqbrPcULhB0VJes2OqywulUqtBHLI38p/FCo
vWdWsQPKBTrYMpOFHjqKNWM5ep3bpCCrVe5R6qwETpYtXjlVGmw7+y2eo2Opa/OuC1N1006aRwEE
dyx9j8R2HeYNuyzqj8GWNnWFfGf1xa6jrjDD4Vsc9K7x2ta8dBNKoi4RjGNC5YYafslItWT5pGwM
dOG0nF4jiwazVbbD0lb6EuF2jMlbxbryqoK985oBWQ8gl6e17vucZc6F5D/VxGrbb2kYtM75qJO4
KJt7KlWNK9EV8qSJCOHCdlMfoPCeIuiFFACJk3ygOJbdOkP7pNvmXP9XmKy5qRoHpW4fVdMkzSce
xwGJK4pb1e9aoV3plUjPVYm4G+GACGKT4344pCjaU2p4OgEIrPWaelVNurhNxLo/RRdwDTruxuhY
EBHZTLV4dXSywVk5J9dQuElaAfWYHYCBHSg8bU5yLObll7mVWzEkjOQVBoldFkQxn2cK1OOa4R2a
X/Hr3f0vrUx/sBjRBAnQET6ktR5yf18ZU+nTkOWKq13nxafM+IozbywOP9w3b361Ev2In/6Tp4BA
bekGnAdNFervvBdzFU0tiqZxjabaZzdz9VC6vzb0/Tvz0HBD/fUadZbt//xvGb3n7+2frFT86veV
Cp3AYp0i0CpAAqkryuL7SkXRAkHXFf7+DcGx4jS+h26NX8iJCQtfOJsc3N4sYt9XKgHxmYuFbwTN
q+Cb/xEP6+cLxMRGB+pjXQq5AoUDcuPndYq6gtYZSze9ItK+mPYmjHdG/fTDG/MnFyGOnt+thuuz
YAxkVTUNMF4m78GPw5U6hDlnLmZ61UmiGr50VEorCYs4XkghfJCSSoS3KzQs5mQo+ipOvXwJT0Mu
0ju1im9z7hRIwglJCrX3VU0xGU32ObGrRPXUKD6Mojj0A3TAwd1XvXaGBHiL7eJSLxKug36dNNFR
TTOGvMPKjVBrlxkPURRci/MmEe5X7LcjtQsFP0REx1XYfzDYx5fE7RWFe3Uf0J8zo+Yr7mZmfmod
R2UpduE42X6ncKRNXUoHpn6RiOhoh14jjMeQzqodw2j9s6CoZqMwANslahZbQdzXFTI+i8KTxFPt
z1TNzPvIrUJqfvQSjWbQnStSR/O0s/sMnyxRKqhUeqU7j4uoLT+vRb5rFMiVO02O01J7EHZU+A29
WTCfB4QK7BVXu3Lh8SsGMDAdlak/yfV0IwnXUR5F4VAscr+xnYQArpEdexQA54bno5rC/FZTIb5V
VkREYaXdrDUWGoNvtBz35DaWfRyiPnoh4GA8kcKKWGbn5d74VozhwM7GUEvGlcKMeAgx4IytC/gE
rIlVGlWg9CrungraV95zeKUJYT4Mwhyu3L63g473HHzF0r62cUT7DYvKPNGD5NYYbPDPBjbz8w1H
pPFuGXq6ynFFuFJz7yBL48pNQaI4M3K3rAqI3xnFGlLz7Tp5gpU1nPnoBt9C/Q/gWAq/XdNEUz4l
R2vp48DuyLt1Xc7C67KutfHA6W2u252lD/vRKEE3TKK9jQgbBo5SXJIyvwxNW24Zpt0a0jw4aGV+
aOV7+sQzP9LVm9Yd7ztwIp8iLG0fUmUyhxPaGifrQ5LtNQvKU8Nae1CVfst4YasImUFhYSrkMF6f
HJxgVvW1bbv3Mmne53R+pM/Ob/Th6NKBzg1kYxvLzpjUy0w9BsfZvWYKmP7AG5vhi2r2l7pQtvmo
BToFCk0/v5X9wkDsDX1DQ3PKdZAuES/CHF5Mi5zTYhmB1WYtoVpUfGVczqLAMR6Ji1X1hFGzl4qP
r+10DqSOHYSDtY2Es+/VhcFAi1oRUtqr1hs9jNiOtaUKfFhLWW2hvdj2DX/jHXIROgVivJ807PeM
gTk/g4EM4rm47fKypeKoO0Vi4mLutF1e4xthcsVVVmDI4EtEXnQjXLxSjnN2Kh3+rnxSFgxMnAsh
4t1SUXC2+f+DcM9FP9zGbnLMRRUIkqQBxRsYiCCypGyq0bfoWYoa9SpTss8y0z5XTF6SNoPe6hzT
XrtdiH/mgl1Snl8YVyAe1vNpse19RZUDwub8Vmf2vl9hOA3Ru5jpxbyMR0cu86FeyvLYOZIRAzhT
BeQVCAwivRiWsl3tYgprNeVumZV6+/d3Xnp5/njnZdU38TMDcND558933njWGLdZObPhGprPkLtz
YA9UWJH2yM9doY++PcBRk3FxKKrlnW7q9rauM/XBIXu9Yc5zh/J3Jn3vZ679pE7dro6tjzJLI0aV
DbJpCnAFNWsrF67pHDlZhmbrjamzUG0BoN92uv0g5ZfGXnoPuNijYEoVDFrHrpIhHgVh3lhTz3qg
swa7T1hSNtfshDEQApC7tgBQmBf3vZ0ee4beS5sf616c7UqenVa4u26cJapRshcTgVwCCAzmFLmN
jXQXsfr5rdreGXOPbSq2jmrs8r3WI/Ucdhp2vGb6lCaDwbibAjYxi2sDO5BXW9bsEebk8LJcxW16
yEZzZ44r+5VOsrDMmIk6K1kX9BIk98CMqjOj2WFjl+I6yUng9cWeda3Z8CoX1jXK/tLmOkvzOwNp
bDOUqO8W22BPr+i3apqbRKeotlgw+zVN+smYDcBrUwKOwj4la5HJxAXqNMs2y+qvWY1yWBUr5O0l
LWa/0C2A2cYex+sF2+pX6a7dZKRhIlf5GmoW6G5YWVZPD0CWF2Q3qvVe1p0T23oWak7egWGKo2Qv
cyE0L23njJqG6FpfTM3/lvA0qtTZiyLtHyXO1BMB+Abd47/uVEmt/XRgZotg4bJ3bPqhwI6tMPUf
twjpgmTaDEVyBfvL19MjOsfm778MbJl+eAYeUrcprgIrwgHfcXDf/PwMurWUpuNG0VVupcSErhmi
7ZPqrhkBP5AFJ+S6ddPg75+TUMJ/edb17/4hR9BXGPcMkBwXdS7vTRQyZm7lPavic2Sw94jpQ8VX
Zj5ZoX4Y+pIz4oTkk5dQAFSRSK9slmep2OekM+htL+Jt7o7aFyc2bLyT6SfLKUY/yuaTnRsvVoj/
T8upheRqKiXGXLsMnEph5FANpLHKeT70k61/kSUxFmPhEJ4kyRtVzCSRVCv2uQPP6FAWrXW9e98b
+bLjfvipjwZxKCKdDqvua2q7exalh7ZptlY7Ej8y070OejhIVXYo+ViWu3npVa/Gsuw3oxnTPDXd
rbWAqwRGRjUiFewCFWmHj7rFRNhWCdklgjqj8TAt6ZOhZkezQ0lvMjZrSahTIdEl+PR685At6Yka
DL+cQ+HrOSKLHmbcZdWnYZ1mJ2lxcSgTLBs81OHCFawGWRcVCHMV522q6qoldfwmDy8V+TSQnXtN
rmOQaLoHsMoGrlIe+i4DQK53qrfY3Y7eKyhvvXylJfPSqMVtXRVe002URGnHgdALYFAdV6DDHVHT
PpVzvIdVAru+6a8qeHF+SvC8aYx32FJgmxIHDcHYRZVxtsFo/ZfL7b9d4787740GWwyxcLUR1b+J
rpRtfaofycodSAieHZYe702MNElpl/Lz+Gt9z18eZ9c0wZ98wWiboSmZcjZ3fXE/XOoas46SZL1y
qXxzU56FV23hMGsn5cneEh35dK1456chwEgyvPI/+dV8VjfHZBtyzN8U/+XV/Lzw/fpt11GcTc72
HKN+n0ea8ZSCwUzjKyI8lQ6bRX1qhv3fv90/37P++ByME3/8g+nz7JU4Bu8u6/cIUvB8+/eP/6d/
g02mw0YAZ0zwu08TM8cCcrNm8VZuanKLjcme89c71L/Hd5X7+18f373X/HXAtPAnh/f1F78f3ldM
Jheya1mGDvxpjWF/P7zzI5dIFKFlzuIaobv/HN6dXwjiuK5qgcSCgm3zo++Hd8bMhGAMSowJ2GDP
+0eHdxavn75yq2tBd1U8hhSzGoJJz++uwDJyhiEfHAz8ah7tK1L/MToorvLx1LPP86Cht+epZyel
qwu4ALgBZYqUp5fFl2ZFCrT0pyKBmoGrww+IRkvfpEbMIXKFEWDrE8xyARTYAPl8ZZyKmzpyn+IV
YzA0AA0myAZOqJ8bSAeOZPNrwj5AxHoKUdkhSzoXbNEdruZs2OMuOkY4nMDWANiGAgINxr5YwvgU
mZAWOpAL7mjTrsohqlObV0EtmedAaRiIDGzGJKbGdkU4oNhcLJgO0wp3YMF/dqE9WNNwcqE/jHb+
oJjFpXPYMzXwIcqGDaqiFXgmxpO9GHcArbdapLwIyBIRbJBOrW2vhTlR2fJZwKDQY2DOsTntCHCz
6FjGK3x9KgpXdIViwyJZYRbalFOi2sDTmcN6hqdf9uBGMD1DF75mK8McHg+1XBEZ09hTAAvKMOIM
sTOzbpuirE3ZAFuFdgxPEQsoCOtNdNVD1s/b0QHGoUflzQSdY2Zjnoii29BcdWP19qcY91lQGfMz
/rdkk4yQn2yNUpS8TORWT+bWL4W9o+7qlp5Xe6vF+XECGhKv0XF85Z8gQNNpkgtyGdK9TgdbXOVA
Rzhh3tfoeQeLIgp1dE7WnKYertNtYkPrNuokSLolDTqYJ7umd55ji0QOzGrgaDLZaUUJM6iQb4zp
4ZOtaBmENMa8tj+v4eJu3iMvp2sl35em0d8x4ryPUoXZA2yFHPlhWukrMyV5AfEG41E3qbgmlIKY
uR4pwLaA9jrkpnYx+3jbOFG2pRSjCeYJ1ouIrHnn9BWnwdLsu2AcVmL3CHcxG1c7epIiX9S7pQY7
Ynf10VAADtXMiF1L0mrPaZCAkw2z3GCjq0QlJo3pNaPRIaHchng7/fKqF3Hpch25EOBIheDxGO5r
Q8Nw5ka41O0eu3uI+qAtvRZ0dMxsdDO/c4fIR/3WiTah7bvWORxaKrAzhv/5aha17bwPCBVotMZI
AVkRZzj+GeSWZOlPMykqahPf9Gg0bruwuHMachmTpTeoo/wtcTcSxFz6oKU9YxMhNknJNyUtOHvq
cXUT2uY5Lgg0V2pqEMjhDSytz12nHVt5CyiI9EnjgKQvwsNkyaspzEdwqRSXCPnVaHPGPHP6Sr9v
FdhZm4F9VTK/Wrg+RpP0i1HTJh0vyk6fvXT5TGTg69Cc0/RA12iQSAoe65DLYCjC13lZAFHN9SVc
OG+XunI/kdkqNRxFcx0/KlH2nvV8ZQRO+aCqgJq69aFQCiAtDFX9Ic8f6jL8cAeUk2jiusMBtANc
EAUGc6+NUi0dyYK6PCtiMi9aWTyQ3auvpmHGnoGhJ7DdJfQnKnfQosJv53xsOuPA0CaDuGoTQ8/d
5D5uuJpNIyJJnxMPNEI+8SlEUsvm5VaGlbVZDSTkL4bFq2blTqd91ld5JsLitGUqA/A5ul1CFPkO
dafujP2aQRmM+JjNPFav17eFoZ9y2d7jqX0IzUTSnzYcQ8cUgb4sE8ZOyRHwupq05jlzzRZ/JhPI
1Gv79NT3QwoqHllKbJMxxBmTJu0LJ5rY+Hek//9hW06Vf70nuJc0Crz+cZq/jux/2xD8re5srqBM
SzDl/xab/W2a7/zCJ0jW0eBWjOKzPuD3DYHzi7o2v6IPgNtny/CPkC1kxH7aELDNpRB5zfuCgXF0
DtPsZX7cklKdlFeZmqrXWDGbeGs6rNQ6B8K3JmWBMhhtq0WY7ZUQq1aquY9hNzAFbyjQNU37y/+x
dx7NsRtZFv4vs4cC3iynUJ5VRU8+coOge/BAAkjYXz9fskdqmemJ0F69a4X49FgGefOec74jy+Ie
q0iwYqe07qVkPSHS917TD93QnHIti8PWaXEkNgPrzUFuc8t4Hb0p3nXm2F2VTXNoFEFlSa8tOgfL
JDhjO1oZbafcYxkNSjO5IySHfZVSzDJqa8+Sazm61O1py03OSjqk6+jOtOQLmSqNA7K6nXNghDX3
Mi2hNAr1r4NSn2LOdmEd/aCz93WMSRRkTnbXtQimbcNYUDpXpd4UFAtyG61r86wLG/F6sVe6YV8t
jrgMVX/ld9GnCFhqmIQUCJTe2hPYu7iKzqNNDig2tZexdTadbxpvLeWPqxHUx9K1T6mpf8ZkiDHq
Ww3Ij+IRYYB84cAvUnA/RiqdixiqB79DpOdn4BFvHRXn2yECjzniuoGU0ji7ClpkBPlj1frl40zA
q+vH19IFS5x75mnym520WZIFlLmvgHRt/S7eNZFznZuUpanNej8aejgvAdUR4DZVK/wAfEr6FGb4
2W1V6jTlVhO7suU0dr6+gZL5I00ci50oDWM0Gzw13QyPNJc/nGW8GvGrY3wtf9Z+e2a4jU9JHl+C
hHaMSrobMq8ypLhz30VcR7omfjCLltoHqnzIXAXH0cUbbrrJZxV793E071jsT5uyLo8o4hh4LO1r
ssXV4lZbN5PP/LN9VTuEdAefrigz5UzL5A1p5eLEWvvBPdWGIqx65Kj4PmHljrAt9t3P0mj2mdfu
3IE4mOzbeMu/eDb6ZiPqnuhfjiw/aN29MdDw6eQv9mzsgriPV8J3iHKTd5A1XdtVVd72WTJvG1ok
bYnNYYmGzZzgErVpVA3zpaWjumABX0Y4DWdrZ8b1VY56XARsz/OgvbXz8ZglMguTlnrNgNfejq7k
4kDd8FNv/oCx0z4nlbTWCSZDWN915d2ZQvehw/nY0G91ETR33azSXTjLttLSt7mWuDS6RD/zePqK
6EAPk5rkO3Pq0aump85t32XOxlLU9a0XBzstyW/hfR44yZ2QaweFDV6YWR6UwkIH5uPIi4G6wy8n
No3naYThs30tJ3sDDnPEpepRZcOcE7LpWGME21ru/EaQYN1M06sf+Rs9mB95o1lzZxpRD+1UNcku
yWHu0v3m5gj2WbEGX7pnIYlgUcWryRcrsLVHS8hnQDXUeMy4PsoJBhFShpVmJy/FDwF6GkqItxtJ
B5ei5A15km22m6cezCjw/bI/pBqIH2pS1zMSSZIGP/DE0G3XJqdBgF8i0hxsp9LFi5Fj4W103NrB
B75HvgRzOE8e4BN8qpaYz3afHcZWrRpMnUTvOPLeOquIrErftRheh2t0lnWX2Q96GhNInYFbM86u
bKfa2Hg7cYJhB5yMgB5x/d7po68GuCzxqPIgyRuFnTfsjZiwpNY4e5uGEPBuw1XC/jZLHX/ls/tK
7P48etXVpDEul3gP7dh/KTCSSBfpBM5pSy4EVj4s8+FZN8UhokTLHXRvw/aY599U4cF26zurD2SY
Lu21rTM1x9leRapEOlwid3kg5LtqTHkbmf0Re+jKbfC8TsG8pml967rtxtKMA0HgYU0uaeEpbG0D
R17p1aKgRAPlq0T1ha5ww2AMzf4VcyemTNRdKlXiG4AgKxHHt8binwJ/Bhq1EA930Tp0pBvyq3BM
RJxtMOAF6EVOvwuS6cYqtC2d9Ddm4P+0wB9WJZIkIeuu9WlsTRtUAE1ez1LcSM9/JK0GO8lxgD+V
TrCZMrP4kVvRvI7F8DPDi5NM+lPRV4dM1qck6Ijr4Nqh3g5aQPvTiedNr2w9iDDbBp9PbpiqqCR/
4gm86SrnttUiwkXKG+S2z1MzXY3KNNT1pcdO3g8lfiITX1EyOdcxPiObAl1g5/MhauifxYjazPbe
pVP2aSi0MV8b0Bi2CE8jYD5/U+jpARYD7GdlZZrwNNnf5qahhmCM3ynAsGooAxTjAkEiPFEExKml
sZqfniSMhPXkDAyTx+U8YaWq0+cabxXWrjsIGEzotb2acF8B+MYnRb4VV1bnTkRVeX61ngGBF+fW
hIMLs+VDkdLtNipvV4GF2Z/H60HZvuzFv1+UEaxQlrBWmcMcZROzvw1j396x0lA+st/NU/+XE0Cl
KP4NvFG2OBdTpo43j8iGbnpq4/W7FWHXYMKbocBdG/fl6oezHW6akLq+MHh7uOvO9THd1KHcpyfi
W+tkj45zJFCUnf/xVf7XvwZck53rfx5wb4q3j6/2rwOu+qnfBlw2XjquRdeF4cRyiXfwt42X8QuM
Qows7DwcxDOWUb/aVah8M3AZgSPEOwUwiZ/694DrGdg+WMWaqiTX/Vs5HU7Zv3yCUHFg3eCBYblL
UPaPn6BhHgdb2t54LXFPhbbEPzGApKsHnM5BfM1kkH2QOqmws1sPmPihi1ladO97408tAcziOjak
DzoiY3y9VDX5uISxoKNAv7cxR9lUqObEvrqzAyjrOg7z3ThEZzI7fBeF995b6b07LM9JKd0Q7gXU
ZmGHfMthcniCA68r+RPx+VtBtV0K857/1nqUfC3bsU+I8s0ozj7hNQrRzzIPHokqJasqjz+zjpbs
FsqSPV0n4N5qD0opK6VbE0zUlvTUwGpuuJlMr96wZHRJI+LYK4tctUmsKLUJrYYjjkUhPbXC2AO7
LreB5JFHA42/6Wdhbaw82pEvhfBtlcE+EvYDIcPVMAcQkq1NLzqgqq2TEtKYD4uBxU5WCeFJfXly
gk9g5+vWnM5dVx69Qf5A60/BUaAsgv/jETzTguMOeOZJxH4Nen0YDG/rWTDVAz15ig3MNQoKXFDC
uaIxjSqaZZ+Z3vWYehcPWCGj0lOtOe99j5xV5ztNIRngBDadcUD8vWUAg5biuHc+r1CUYgTQaizf
RXFp7QBwhP6eTwsXbj2gTENXPZPe+Fia9kvmB4CUAe9JKAVb/EGdmjquqL56YNsCZ2XRn9IhI3Zb
Ebuwoke6Ti+C7oq4ReztQIzZWvI6DdqDsPrTlEx3MnC3uqv96LWMsDGlvQ6e9LAVFIoRt/Y3ZsfD
fJ7v9R4bemMHZ96m05h5a4jK68j+aQhnE5kq7NIvWxaP3dq0yWEl2d7NfCaN2Nstmees2qp+tSr3
xULFD3Gyv9k9rAw+5BA84ipnXVOfjKGAqL48By28AXa61MW6x96d97UrPwfNViVb1oPDzSFOyatQ
lXNj6KPE2En+x6PofdVqM9nUpCcPYDG46dwKMsmLtJBZXTmUu6xsTh/pik0gSgjIZRtsOlkJcp1j
fDH7+mnqXtDGWT9aLyXsTXxN+j4hc7sidkNqdU5u57ENDhES9KqGyLCzB+qO9X60w74xss3cJ5SE
aOKnk40yOI1GI9l9JRG9z7LMm+Vx+G4OcjDP0OkTk/W8ryKLHh4tBt9sZ/XGpnkI0zf2ULqIpsrG
h6HaifwsW3tVsJvFSHERHFZum21xTIXtbcohMjZitF7qweE2uvB1KxI+0uSYMMGCTQaWCOefoTj2
g+neF2x76yS5npLlE/gRt+DYXzO7bHUal/ocT9KCMWxT4dSiGDXeFp53mSCvEHIIF91/TulvSnwn
WkkanVwpDylWqFYn40bjU5H2W6Fafha6oGrRYXWmHcpOKvRq+qJy273n1TWwi2BIytqbiWYpRRJp
LbbkcTS+d679VNfWj1L3qAinlSpT+PWGygPAEOmTk0w2xQ5lElK2CXmUWqtqJOmeJ8VJp/GKf2ri
elDmLum8CFWLZTbaprXyn/PSPIrMexINOdzWfm+7BXEa9pTLlc/ta1gwTcKOk3IonAWxpmCU7/qU
3fk0dPHmganIwAbI3HssB2oeF4hKCuoMDRvRFI3LBq5KeVRGSUwt+TLNfPVY1WO8Mg9dzF0upVgG
Ew7lSsYRWt8VcfJTrhpovIAumoJ4Ca5gsnZWWhar3vNBwZSGigTLL02h++ugybayh+xFgudSqdab
QfXfmBThLHH0ps0lF93lUVNNOcY0f5DnzO5nIkhoCOOebSvj+kzOy4ubD/bW0GVbHXR8WT2mvsuM
Lz5StOIwNvXyYaravVaZMGp7oAiCd6PwIvKBbLS5TPHYGA9eKSIWKD3maU4HIT8Cc7RZLBZ81rqS
a/yq0GMKDVpSqSRQipgbCK3o2y6SXfBqltQbnr8HgX9kQJ0B4j9PRNv2q6vqv05E6qd+nYhw6Vq4
bX1Wan828CoNkM47Ex0PF+23S/fXicj7hf/vIQ7idsV77fMH/joROb8oaZCuW481mqGwz38D9OF5
SgX+w0wdqKiL64DYozCPWP8fJ6K8LIyAcK93iabuGMtmqM5yZJsVZuUgRI3roufrPXZdWCZlPD3V
RF7ndR1UIrnCJ/kyWd19mTTzOumwn4ySGne6OiCqwpjVMUfWnCerOsjeLaQU8KwO/S5ahwVjcS5w
CYlCFtoLhqC7qsyfx55NzK30RHKf5+k+gAlQeYQJIZ0xRqTaJY8qf1yRhtyw/Yhf6MJIbsh9QRhI
CgBkTuXDHbDHiGyJ+80joFAANoHradY2YsEybghEQC9ovkkGPfVrDH7wDXJTkQ4I8oLUyDK+2np7
HjP7OPbOnRMDv49Ip+mL6isDIAGc4oN8LAyFpH8vJQ997kCcIdZ7UmWEQzT74vYmquL01CcpW5VR
O2m0i2glT4JYKW+2EAYOUx55YH3sjWEnzwg9PsTfHC3Euc99EoJYP9azln5i5H4oe/tLt7lodSUv
iuPLW8/CZ0IDSUP/CZA+Mxb562zFCKRjutcXaLuNgiaXhf/QFIa5hZ9GgojFKn065p7KrlU1DO26
HNODlZDtcKi7XlUY7VYd9JGNmbH/xFXMTGqqZUAZLlaCLmmb+zoHGQwRgijEPJmHeTBUS7v+qddE
ens2QRrNt6haHZUuwVuc1FeUfl11VLWGqa+xQFqCey8q2BXQGDZF2ieP722hTwcRiUvccnYMUbsW
LQy/smKR2kXip6zhu7hgNEgUlx8jiBHQcdUPPtLwpoLB27sM85QpO7fIapIzkgI1h6QH+I6bIgCI
TQv5Kk4Mamo0dJzCA8g/tU6YObQh83ljx1T/6DNsd2DSjpJ3UBJToV0w3U0OYrarN9QSVoRniTxN
jfNsdPISyPSBHUIepnr3VMbJHZtOQth6vzNiVztkLgGYIWnvZi960EdyuU3PV8RIxZpSNsbZFL+U
0UY3fbTsZ3j7B2vSPtpGS9a6LfLd7CA+L0bA+qQvGSOcbocH315zCV6OtfCuM5bK29qnB0j0lRVi
ypSMi+MJYfizKFJa1Sgjarv07GYCOg6GwLmm80oPgOvNcRMafAHWtpG9cRyN2zmQ10Fr/xi46YR8
1bkwzKUbJr31E74cC0tRsyQRbEy9/cIrs/K8CZtmhUtR5sOjOS7VXrP5dOLZHZl7U9LR5gJ1yvvh
jM69CY36MNS0CBateSBXYK0tnLfJoCFd2tip9NK2t2OTXaexu3a1/K4sKGdK+GyPiUc1J0CDtAxu
6Kxvtm4hux2FiTDGW+ArTeU+MPUNKLX6z8i0yX4WH2QKFHUMTkwMIibSzC+7056+97dlWT6VozQ3
ZtDfk2KlB8wtX+rZvnKo9mLh5ZNQs4+ePbm3lmL2rakEZSGYNO9Uf65BebJz11j09k5zpjlYbhYS
5c6wvLeW+dLgUdwHKnQuSJ8vKobuywSFuHVdflXmdkAI9OoRW9c9ec9+twh9oRfMxogEvYq5l+Td
Kbq4l6X0wzHxEaz7aFy3eOtxhIkqrFL9MiBab+Bzfw0LVzDqWc6ZitcPKmifq8g94zsbxp7qvVIf
LVqyR0YTvsmGCuvr0ehcUhXgH7pmAl4P58Qi3T+qmP/MQn5jkPzPFQKAIC0gAaAAqZMRNsgScaZo
6DBDDigVQqBUMAFTYQUmi0+raLMPVyEHiCMsGwcKQWxbCkcAmKCGUJDja1gnnltsfX8Bu9Sly44K
m9fWd7ZVq+1iVc6okAeJgh8wupOZ6EYCtxJ+EctPtsbOHN26lSm2XgNBAZJC5qWYMRRcoUNDWo+e
ryP2gF5I+l65XukqUlgGhA98E8jQmxxkxT6pKnoNx5L3ZpzJISu4A6XnPFexrK4cyA9WScyBjcIS
Fs5wFUOHiKBEwIArIbQBTYpyrBKQJOLEu/c1zz0tHberROEmergTok8eKhOEPMVn4AwsjL89QXj2
6/LDbXD94nL0d5OCWcxGLEPfpDPNKJIbCfGC/IK+zhUEQ0DDsGR0iqBjMBLfEBfINxakU7o5RsJl
sDQCmBo+vpyii0i+w9/CewJ4o4DAUVv+TDU8UI54Ac+hw+kw+vytzrWbAn5HHmvKLUrgPVMkoNYW
X8Xi/YxRfxAUAIC0CgXSp9jXx0J/EQoTMsALiYIez4ihD+uxaUFnYrCufFiz2ZTFT01SrJGZX1wT
P6rJV9eDSdKW8sWxQCcl8iK+ufay/IgIKm0MBTQJIJtQjscFUMFOTKgniy70tVakZ2680aqu86ui
ZRKxOVMdBU0xoKdwp9t7fXTyFVYFB+qxiKpg3eQUtTjVM/Sry1RRFOMqKEvLToI39MhO4Iq046dG
/nqcNIpaCNNWjUYjUPblk9TuVGS7Y/0P2LBfjaS5UUVPS3xVotq1BL1Fl78FffaedDx8B03HBOwd
+hQziKOS4qgsx6UbucTlvD0qTZ6J7mpS+fIUBNPWJHJONN1aoe3ep1nMv8wDHILhKW2J09oqtY45
LN0xub0ygR3SqaZUnYS7RdR9UZn3nvC7Swg+CsZnw+IPV+n4McqucpWXt0r5YWO2iimsCgV2Bh1k
mBpi2MsSjq3inaPS97NvXegIeOSeQrNOR0JfE82NSIPTbEYIH1iNeg1+mEf8gn6HcterpP8Axtg1
WCXUigLQKR5AqsgAlWIE4AS7LxU1wFT8gIS5k1xPutEUW6Cy24MHbGAEOpAo+kA8+tezke1qUCZc
kEx/187V2kByBFyQKIKBZsMyIKGyy7IBVQjMARW17xbYA3eM330wCLbiIWgRFcCdaN5Qa9ErzDFz
OIiH9oqvz0M8T9Q0S//JEB4OGPK8XbsBlhgXe7MuDgPMzci3xG3ltqpWrUpdPCi2Y2jPCeEDAkBm
1bVH2htGBRseB3/Y1sWgzbcz705FWY+2tiN6AGKIsASHgpxeZjz0U67xbdPa3YJ6uGprmDFeJtZV
TplaasPKKvN+HQ31j8jnuln5MD6GOTY25NYerba6H8HxbjvL/tlk7TNlbQ63SIPflAQsN95D4tlv
oppuYKY6K1RHki8pyjBzVwdMhBSAMw4GOOd64jihlTLXOdg6jjTeP/XeMZv3wYzTPzk1rUEvm7DX
k/Qug0yvg947Ybnnlt9lbwbqTxfYJ2OZmW5q8c7ZMiP8qWZM/7FLU/soqZBD/azYO+mY2gZ/D930
BttfwpC37CauEivmmnEN2OGzhUBsAQTCXAUvo+ncEwzKOxOAB8m1IXTKetzz3D0FI4UXAE/Cyum6
fY9XmvON/yDWhDC3EVY7gwIOUM+0TGY7YTLtBkb+mjcpNZzXOXiRDI/8OFkHp+2AkvnDBWIyPGo6
P0sH6sLcAr838DnOmGRj/YKvfFtUw8U2WU6UK21p1m2rxUe2kc/5GB9kkr5ITz6KAHt5tugbv91N
rndPv0XI3HuZG/M1ZXcadIRIrDI+LBAPD1lfvPIXfExSzV17zIKbhJ3OFU+FV7ush+dyIZ1WN9nV
lORYKsGThnO5IMUDfm5c44cYdBoo8ttxrN5y4eOd7KTaJ7wUTn1KreS5HJN/mpf+V+Kw/98L/b18
q9KueOv/D2Ov+slfL/Xc3JUzFyEDfJiLWf1PMgemXRsIvvNnYy/tSpxmJG/Ajn17fn+91Hu/0NXk
kbSxkDhoH/ubxl51af/DpZ7QLzKMyqkAq4DQ/8dLveZrVt5ORX3dY0tZzpkpSM/iJ87MjcSlc4N8
PsiwLJyLw+O+T3zOCu7GrVk+DAal5qVRnhqzfSnm+lh01R1VSsRUTQpTM8QMxzlz1uRh5Y272GLa
Yho5Jfr4vGTVV5Cy0a8Hk3Mxd2vuXcsWmgyW2IXdWkQftGn3OPBkdpY9V1H6BVQOsTLeTbbFE2nB
YjvGmFUYjZmWKHJ0ZbzLDY07mP5dMVZ+142BlkSLdwdx8FLayBqPXeJ3QZn1XVYWfReXBd/utlYZ
3TJleeu/3W/Dv5xweOK8b3dc8e2UI56qrYPObzMazr1h2TRtrDcbjKOEropxeu/dEsNOUT17AmUZ
6OLOhxmzgxFEYwnahjdSqJf5xbi1+vqcRjpd6PQLrrC3bJqFm1xCYUAdcVHSoyetXQ7S0+4GyMzV
MB5sTj3Wt6dpdK4D1afoC1f5bEHfp29Cq0mF4byoZX+mv6kC6yNIxTKnAs66G3rtQCnypoqaix+L
n6ZF6Yc27o1UYqkp97BcqS6uLqU5Xfq6fdfn7i5IOPoy9xFYOzdfbx+BrnOTAW9UIe4LsZBGU8WC
+m50urtW+mtrGrnP2s+l57Lh998CvzsWGf1KfmmZmyz4WRls0Qv8z2O/gb2+s8USGnV3jtLuBnDT
C89pzDf+WmjGpqJycanLa3/mGKHVtersfTeZz8tYn5kt0AuqC2VzqEPA2JPkklGHzvoAccWBuiCP
mLV2wtVfyQ5t/VSehSXf49rHX0xPXexR9tAaiFDGzncnBA4el32gX3ouOHOTXVrXvG1m5JxFe3QS
6wCqlHeY1k1Cm4fOUF4LfxVEzVdgd9ifimecWo+1ntzJRNtGwjlZtr9lIQJ2f0CymrGN29P7wF+C
ucoAFGFg1F2ODD5hm8hT7KHup5gEpuRQd8pHPbdfrWfeDcF019LYzn15cG49p+USOiYXN7LPs2Pi
Awded8DmwU0bNoWl5DxeL2dqrmm7QuTgI9UH9qEYOo1zYhRr0QWfczxd9IlbfWlhkolvp0a660mk
ygbrra2meZWkf7XWcklgRjsMa/NWs6JXoPvnMZiSrV/2DzlFGJZmYeyyZbcxaZ1F7gEhZpW2F2oJ
vHZGXlZEiXGObPvOhlMWcgUkEznxjg9ZcJMJbdexXBCcZnuB2SfUOi/b4n85y6zf5VEcOrh/yHT3
Gz4dvFumSeVP3900kNzCyu6uINa2YTJ3dE6n13aUn6xG2xm0W5RucxGmkimb8kPYJW/Goq1xEI5r
CK68WNK9pazwgBhgralSstBHI3CJyyTpLujhSpkQaxPqtbNUnMq0oIkBh0Zp1j+kZ5OwM+ky08rl
0hvWmeH407Uwu2m+ieJJGf3EhnBVZcMd988nlLyjhsnA1/piW8wVNNV0PANVnleDzROg1AoRBqKi
RLGJuEikotlm/XyqGwNggJVeE8p8HNyeNUsyPcSuw+fdSOFxEzv2c2gtvDRJQ5mPRbQTr1AVBmkS
YCrSxtNSW8VVQuld+M8yn20S9hH8Iv95mf8CzP6vq3z1M7+d+gbJHB5utIiAxIby9LtT3/zFNk3d
AdDh6t/Vib+ZG6B04DSgBwfPiqH/yb1rGQSDsNoGFNsAffo7q3zCJH8+9VlqsD7Co0eTiw+R44+n
viSLWnF3mK6FjHB6+XLtRe2DNFHtMhMSNG1M9UPKAQ+8tyzvOwgOe8ilONiWyGAZOHEXqCO1QrQu
FikkkghQoGYv+7IWai0kK4KrpBneg34UD/WsrAFNMd0QigUEWlZeGMB4fLC7gaAjuF3JNXxIE6oJ
YlYiTK/xHQa3ateDUd3EqKfrzjAeSxYj+wIX2y4LrB1H68Ga/Ye46dvtZGfmmiM+vS7A54RoWK8a
+heygP9ULWb6yK6zPifmXG3p9e1Daqan0OAluE4NP9pSnR3ssbMpFxZ+B5ZH5X4UHkS62ILzUWH7
p7DlR92xrSSmDAW/L099M+/yAOMuNhJ4q30I15ONUSKOem+z0471DYiiY95qV0Pto/sb5xpzP4iB
Wq5qty952CSvzmBjgQwYhMb6OYbSoRoCNiKJRx726b0kH8EMpLnoIYYXunG8zxcW+ZpbfllxUqBA
u0e35REnFwrUWe2gP/KY2SYRa7DKWV54o7MwcMV9rUUXu5jffZrBrYjUhS2sz2jubrjpDKfc98n9
SW4qzehf2LsXCPjLxal5S6WY1hyDN3lpvTMycPjmH1rEnhiR+gjo6dodWTd4gqi7EevgR0bz4ODJ
Cot+AgobB9eIXjI0S2Vmw2s7lZhwPStaOUbyIuLlFi8QZTws2rVpIeb6nXynoD50/Sb3r6lGzqx3
5fWaDx4s8g0AkCstIlYctjSSrAvubNxqnS8Ndy2LbHtlaDNGQZoAIywTZyD0xyEDkOk5BDBMNicE
uEliqEKSCJQX63LWJ7OTb/yGM73TFvOudZyB5yoELDvOPxqsN5Qy026NX6Xf1FmwhUsPPzzHBsI1
ITpoc9eQ8sXXM/IFBxBWsDMQd0XFTnRI7cPkB/TK56X+UCVRt+IsJA/M2rfFhwDEyi3Veo61iV6t
rDn6mmdzn2o+MWTHeWhl9GpWlQw9CFngdS525xRUKoPXLcdeB8PoHjQiO9fgRGocsa2E0JK6uP3s
+yEHNxFJ58Rhw/FSzUGos+driz49GnN9BeuUrWhNA3osAxqIfnRGdK2NMYBD4KTQ6XeyaVO8gmW7
I7LPuhOuht8U70nhbP2aFT8GKuYDD8ZFWb6KpDtO3igOuUbOCSegcZ3gXAfLriV3tKrDG7Ppfen9
6DI0Wg3LxsXujCTPXZrPOacWQYDpdja6kcSOADs/Lz4WZTPa68RcNn5X27s5Zt+kA/M6iKa6ihNc
q3PcW0eqm5ZjkxkakZ1G39SNuHU1WI1LPh81Pf4htNK6MTPieDz9KG5K7SBMcnHUcCfEUxxt0D5e
Gi+Lf3ZVqXi9vX3rZdnXki30pFQBwLPVP+fn9/mpQyf4z+fnf9MJXn399QRVP/XrCaqqLWifdl3M
m5jMVFb2N3sgzkHPdPgfxyvJV660v4rhnKAkYyydCzU3Wu7W/xbDFZKRsIzn4Pr8V9Hx3xDDje9G
wj/em4meB/wFKW5Edlep3N8bTOOWRqfM8otrzWhe4hSs7dIX78bsHAoyiqsM72vX9hvPISUweNuF
hEMwN5fRx5wWjSWxs5QGix4TS+v15haGyJYl7/2YDubG9zhNhpjUuozWEEnZSBryKfVNAbS6OCVO
UyDYtPsi795KdyIeadifEamGkI849jZnupr84TPvjSZUuKe1jufOnQdnZcwYsfGKofWVzsQSlZiF
13Mg2rPuklWo5m1VY56eYcRRRXXVQ/dH/5M/rEliKq7mT1CrR1qWBZ59xvx46HIMYkREkgU/sBfc
0Df0DBABvBW9Dask0UZcKSjImZthToqpymIHDFo3wrItt7NHdUbTIHOb4/S0JPFZ4lpH3KUEhD1j
PfPUpuvmbkxpcyUZuckr8xwZ5kM0F3KLtQZhPcCvKLtB8nglkYyrdF9aVA9Hvnj2HUoRXHgN0M6d
oUnje2lm4lVvxqd5sccr6XcUbqIPFnQBrLKmfZ3i4QBKaVcKxBK7d0ikAn4hUAJlKIn8cxKbT1bD
irBPx2to5+4mp1ZzbTpLvFkCboNxGwDervs7S0s+nSKqdyMGb0QUCD/um5zeBJtDW7hvNBDUO7jD
u6Lv4k0rxrJ+Coykui90klVfabx8cg+8W0CRb7zvzGneJr7/1hqUVNmGfdCBf+0nadbXZhsF13YZ
IcYFUWgH/YbmD3cvW2KRtFOlxAGC+WJlC3fetKY/r3C857ECyZOWydma6q9mGcw9SkKAWImrbPnn
Ofe/Nuj/955wriv51X7Nf33Smb+/K+i/EHAKsPCw7jMtG/jDb08645eAp58HEeDbJI0H+dcnnYsh
CHaw51k208q/H3Oq3McPPLq22Q2yOPxbnZqeuqj8cT0ImlgBBHwLtKNaPP7xMVcKertn1vuX0lqG
rdAje13r3ovn01Lp9c+mZDG03EYz1XyNsTEbn+LE+DEq6K+ZMTmFws7XTTWf3VMWax/WmD+WWmSt
DS6pu7mt3nEnyhUIzYMos70eV8qfUG8drA4UxmUYn3XjVaNH8t2QNJIxto6bzE4jkP0ZZO7W3VPD
dqR0HNVMrbdZczPivCwaZj21/x7T5m1mIY5l561lQU5S1wxdOZ1BKbM7V1t0wTodI3CMq4UN+6z7
r6nauVcCh6UxUgSjs5DPWczrakNvs6qP1M7e9Zf9whKfONMloNCZ8ud7dnwMhJtG7fyZ6x5x9Lz4
qbYfEQU6pQ54pmBxiLCIcmBksKyK+TKhKNj9EjZKYojS5LNGc6DiHIq7O16CFDW+Ts2DXW8z3CrJ
XIO6u1eEGG8rZP7SKC2Dv+JOFVlSUY4VVekd8lv5UBpIZCOHKlVkcIOK7iRrl0XayVXKSa00lChV
W7jsjqKwk6tUFlvpLeyAuBAVn61SYqSJSzThUdUqlcZBrpn9YI/MyYJPKTlJZX1Jpe0UiDwRYk/H
LhdTNAtEpQN1untK/GVdIxBNbhSoGoATmKvrQgSXEinJzfDKA50/jTGPHoBDFOJRi6H0p0IpUZXS
pOJFXQiUTlUoxapQ2lWqVKxU6VmzUrZkCUJdem+O0CiGQ/vqO5NUJKWhpjnf8kjEv2MA7mqsjxnT
Umg32V1llBlF3O1OE9ajA428KYt2o3uuf2qILxV+fRbZ9DqU01PSde/AfCC5jtQSLS7qYJ1hsJ9b
5NE8kwfi2OT4ucPRq6nw6sT/0qS8jfBQAJOY9rQu1ts2xtWxzO64yuuDZcIMyDz/J+8HZlxxbZOl
zV195xgFzpqkXMFTMimXsu4JmL6CobySxkj7FcrlIqsjVQEnvawPZonrptDFwR/896yLD0ES71zb
ZOkIQWns0nvRa49p7dJ6T0XV/7B3Xr1tZOEZ/iuL3M9ierlIgLCJVKOaLck3A9qih9N7/fV5jkR5
VWhvvBQQBljulVfSlMNTvvIWRIJS01yEsreU5ORLUkafzJDMOxraU10rTkRZum5QG87C7jKKm6PO
pXlam0DxAKk66UIp9JkBNyn3NseeLlNd7rWTDEmytpQv5I0ezeqhmLgEDq21Ea3EYeYX1TKrgWX3
g3VcOOqV4WcneM7P9bCveUMoeEGDMhpwOg/AUpI130ofxqjtqddlWt6C5Tlxu+AMwRAojv1VIkeo
9LHowwiQc+vfeqF1BHZrHpu+vaAXCGkTiphvVWda4gjeqHaJAdYCevRlLDUuKMEcxFKxaBz5Tu6Q
SLJlpDYctb5qN8YpND1vhOwelIkhvqsrlJfqBjY+vl3kqOPaTs60yPwy2M5RK7XTyqGD7zf3CVrE
pSF/H0r6uHgETYfSvfORdUFgYsB980r1oQtGdhuppE8g0vpO046piCIQaUYndH9PdSdcdFUNsROL
2g0wcL2JTlyvb0dB6p21GJKiBZF8behSgw6OziXZOcpT57xALE94I83iXFamvqF89hVIBChmaqGE
8nRwPYivULONr5nSsRq9KRrFJ0iU3HZys9QU5VwOEe43oX3g4LZSJWJYP/NokeaEexXfRaEAu6k9
/yi3yfU07ax3KOVWfjEP0+CIum8L1075TOEL3ERD9IdDRyldNr4JClC/sbwaHbDhaxBZ14NReaeJ
kWcL2XOvsjg5kwQlzAVKqA/GFyUzjyzVhfDRGvOgQiOyLTp1HoItV1VvHSJ8QOMhlU96qz9VFHr9
CsCPGda7R1YO0ZdJkY1VcuGR6clzoM53Zetf58lw2tfejVuU80QiSO1EfYgkl3em9R/dVtiwLTr9
IgzDSSA3YxofOPTG3ZGhp8u28lDqGMqJbTZzCcmyarAXRWleDpEyLzyHoVGWUl4kow1kmqZWr0NB
0ZAVzIftAjxio7SXmWaelRHn/TQqJTWa1m0OZj72KzZ/0zpRE+gKsR01s01Oep8PeMDaDatzwMjX
6kdmwSv1fTYHy3ZkeYlzARcXahGEkyn0SNQFCXMJy5sO4E38tYFxpJsI0XDC0Pmn7DjJ1AhLUuLh
tJq7wKYwLgV7mDZOcxxEHUB+qf+eFOXCYBUjSAFSVwPsA6ASxqERRbdN6qkoppjFxEKGa6ZsSkvC
5dWkGBN79Boq7Pjw+rgLFAtAJgI+kqDYGpclpnbH9N3gk7eRDnSnQTcLVsSAp5winbZacUz97gKw
6EzvUNJQh89x7l55eXFS57gDWvBn1MgmtlXyOwBpwVi4ihUKrmBN2GGE64JzqqqvDXV7JbTvdVc7
a9qeQ8afoMk5q1yIH1p5k8kkRLa1WbGzfpa1Yu62m6VsQIAOtBOcPQwgd/6UiZSOS0m7ywbjhDCZ
5lSkjU0I4kEUzqQsPoa6RbDc06cyC3cZyACocJWlPOWPrHhYZJ55anT+XClggIXZInaQQ0vlcOJb
5ANmoKFBFF9X6PA3aY+6YpLcJEja0QYIT6jVLGRZOiONHRMKHaldvqhc+NfhZuFZ+Qm2QbdUd7EV
VY4LjZNWs2FDZ98Ehi4I6eS4RAq9kU0HdzMF1Dk28mqNRsIpbOBxyaTrkOetneibqUHrLZ1kAdPg
qhBQHdUfO3qASVyMB0onX5ehJBxKAcKiRQymhiwHLXv8ziaO0Iyv4QpUgTKPa/WusfVxFCjdDGDk
WIMtSmiRj5CszdndwzvqtmNsRLxRW6g0cigh116ESmTw2XHcI80eLuQGYWM6PDeAnWdakN2mCGJN
UCGBBdH4D26RNuOORuK02mjnrSGfu572hdKtOYVNgoqKRV3YXzi+7Mw8D1HncFhnvXFeZQpv3EYV
NupMFi9tDTyhrJZYKlOmbm/ay1RJKUxR2ItsEx0q+RLHyNOoQlIe2s+sLAEUu4CgRkUpx/NNb94b
bdBfO+w0E8qfp11n14hWpbedMVxmknmvqoE7y/z8Tm4IX2SznoVlA7O+5K1tF9SH2HrgpMCxdTZz
DxUYkIbhWQaPDojdsJRwgs4UL5+oZknptYi/N0pXEiLilQ6h7XsfggZu8mvP77KjaIgXrUUvFLt5
hHjFqW3od53CQgtkeC9FRy0XIvG5EvrnYQuXEeGthbUZytPMLYTevHZLru8dt3ACnTK6lyEtzcVy
R4UY9eyE0zwsGu3e3lTXSaZfKm3nnzoaUFUlW3iZfAPOdjSkBvDZFmdztIzkODzNPRlAr15ApIu/
1zbCQQiXTz3Nvgkr+Lf4DoWNSZyJbkOpVne9kl85HY7HSWadB4p3HtMEjCy9P0GB/3MeOfd6p13Z
7MMnhhYk09ozUdGv9PshdhYOsrZjTA6So6ThwhKKUCk97UkGzXyOPzjSj0nG6ejpsaxdd0qgkkaA
16GgGPW6isGfZkpTVfHdIXhqkf1UrJBU7EUChXQfmm6OiUohZ7wDveNNAqX6stypauIvweKOkuSs
BLXp6NcvymcXT2Wnl+r7r9s5zzdB/BrtPo3qi8jiXrCdQxfpcaksfezVF1JyJktU0vWbqr359W3e
yRCKd7GAsuiiOSU/dpVe3Mal40UWIBO4q9/b9JOkHf/29UHDKMBRAKIoxtuxKp3exI8xjpZJy0Sb
2y4aOj+qjDuGacfzI3CoMkIMFIp2QkL1xfPTUYLtYeSgCcg7jAtj61Dw0+9aYGX+qgluv4YX4/Pm
u0ZRGqUptlJqMUcS8DplVlgTHWG2dRRMfv0qO24lhGwxmNHh48DKef0qkQ1Vth3ScCkHczCNCOhk
QuZuzDEsZU/Vm5++lnjsN6/16msRU/zFsMmKHzdAsCNKZWNsxFBdZmmxp/bN7Pdf6uX3/+alEgsn
2Np+upGGyRUqqZsZ54g4irO/mWs71qXl4NhBQxXHR1Uw01++lGYkasrBmyxL6D5IOHZTw/3269fZ
Nd1e3OLtdBtKVHqo6ybLxF4F7r0u/YPpjLQj7kTCfghC1utXgHVjVLqkJsuAHRAIRtT/g80LoxXZ
pKQuavHqmyJ3IiXE96aSLgdr1VrnNRVfufqbvWvXTGYSW1TzhWmncN58+UVgM5glPeD+ZUHg14/t
fKQYlw29xWwCNevX38iOe9H3FgIBFpga6k+v70UBFyUCsN5L6EnI+KN6vEGmPB+lxFhXj7f6l+eo
s1J+bLqTVbX6Y51UJK3nq3j9n/9xXVeUPN8XPMVfPbd2VOQdFF1BGOwJ9sjSfFnwRGsMPyvw+Joq
VMeeC55C+YFej22yYoUQKpvDMyTS/pMqqCnLMvhKAbb8LWkzFMyYBX/td0I7RMAySMl1YBqIiLzZ
7xo1UatccvolgL5yJktRMi11mUZHqNlufmLLQWdALDQIig03yc7atr6WY6Tb7ZBSR0EjxN/IxmmX
dKC0AwgFNQQhDNTlcdRr5UxVKufcpN0/h5GXXao6tSIoadJJ3HvGEeJddw6KCGPJkL8luS5j6zhc
xj4GSm6b4s2aiUapZy2RzW/GSdrII8ol8MrSdhgpNq2YGsPCcRKrl6EmgVinRTyJXWMqFxtjLllI
NhoadCIlrBOwa2ZikOOHV7pir9swv04b/zSL22JSyIKW1kkdJt9U9IbKyZZyjXoZ3RgHvaaRixAW
iNIWJYB6UnZYDbitcybrDI1G3YlGyqUcksPV2ScnyE/8TflFlig+ZjEPO7QqXlPBKcrk5AGtcTZk
9gOYAwp5fUjTSm1I7EXnOmrzsVSDsN4AcHdU91u40UpIjenMBVRiSfkZ1J67QGgjWlrminpbMW2N
/uvgq+eKj3FAa2dXSLoidRlouX1RarbUH0m1EBfaCEkLuUUqvEgJZgu6MOmRSt9bdtojVa5OaqHB
VAzrwbbRrbEaYlGsRqzCAiVQgh9Lakzj9Tgg90UGdu4Aihm1qn5LneusljRvgvjntOlUA+eAtWvR
61YzcBCut+Lk+V5bXjqxQiOZVPqQzhS5is7sSL1wix7NDRNlgyzILjfFsLJz/KWUiqx9E6WgPQEA
YMeF7oVafQ6C9LKWY8wRTNApdhTMhnwGYwVEnAaCRjEvu9a7RUTBoZBRojRRReBHY9y1TKarXcKW
8UMPAFA/yHMLdddpGpeUYz2UyPzc+QwzC+AHFEDQ9yduaxcgI0lKKsNfYXbqIXWRrqxOwwuso5hQ
ShAUsaPXkSIJQ5xrCX9inIRHyGRkk0739JFXeXA6LeZUqqkI/qOhK7AeSNKDbxT4D18gQeiTnKB5
dIloyX0isCKJQI0YFKljU50jxA3sDWBJl5QlzCXVwJMUILBAn5gCh2IIRAr1jGXaSYsipXPfA1pB
g+g2AMSSAWYJhDmZ4gGjMZTzQvWg/AB8acgrp4HAwrgCFeMAj8EJ54GeA7JN2Qbzmv5rGzjn8Dyu
SW2h3wGxiXLir1KgbnB8DWaZVyC05Zr3ZZpfqgKkg5LYOhCwHagyR0Pd4uomID1oq0K6A+WTCriP
5vnRVMrCWyT5b5UCA2QTbFAhB18SARaidkxmJwBEfqqdQX76HIAsUkAY2U6M6nlnTE2wR64AIdWi
fyxgSQH4pAqckhWkp2mBZkFrgazYgGWqBlCUoYA3NQLoVD5CnhQmXg5/Y6mGqS1NcmPwH/49Fh8R
Dzqx0S+OxVXCQTku6mHH0chfvjgaDRsVI04xksZHG/IfRyOCoAptB+CJz9CG56PR+hOEn0g/CKLQ
BhDi3c9Ho4kgqGwA8cOS6Ukv6TdQD2As3h6NhE8UiE2TUA0I4aMLzItUwMHyxPRsmxJfhwo004WD
Qo1UhEWSW7/Q0KMRtcJSxYwxChGkoMq7yA3le5PK0IjiuD2mDqON4g3k1Equ5x46vMxTAyoYDLc0
qYMZVaFpYAVfW7eA3yiqmU3C7h6JCqclap1S1jsXIF0/GaIWCm0XpDPlUWoinzyvgp/o31LKu4lj
P1laiiuNU9hYnIrUruRO8Y/jaHPrguqaho5zaYfoq6BbvlakAkMkVWpvktyZm5Rig6zrZ3KXTKWy
uwKEu+xStA8jKUfRk6qGnh8Zconqk9GdxpZwJqTsXPTpWWlAjPcq7SgkXUYyqfzW+2gEpZ7XTK2h
RybVd1HIya9pys8QS6HgSJWkLAp/0UTWF0VB3bnt2nOEhgFoDPQbKRWN647KU+orky5E3SkqQqRM
hivXU/q5ISkMTe03J5GPr2ZsIKSZ+ceOjcwJxY/pUEkPQRA5bKy5Rf3LP2qHFoNdFwEqqQmBy1EG
HtWDNqsj+wJBcAIMwMTItGWjqtKugsy6SssH1U6/W1yu7h8laQSJTClXG9QEx6ULskC3qknAlj7S
sKsakU2MYL7R7ol0Wm59KWTbr5DmTi/yWDnLu6CbyrmS0agQokTM4aNBVW/0gZZk2KAOIBmfSAyc
47yBZmFhimPmLt7hWTO23XBGOfakTKuL1k0nVQSIok1maefUE6iCt6Dx9aOkA7vtlvFm4kT5bPCt
sz7v79Q0nulJ8wVUBzVZrbkCEk/cNLRr7txNOy1aN1auLBHw1Ua50l8EHdo5brg5c2rJPW204iu9
aRCrhaIuCLTMLxsptqY5IBpj2iclUl/DzAg5VAtIiOdeI1nHmZeWl12ZqjGO0sDsGKAcZqtpP9iZ
3WLtoVEUtGZF1s0rDQEXA7MkzS3uHZ3+FXQPOmQZtyihXdbhvGix164NhthGhV+KN8MnLUshgqoQ
FbTMusbxkiZhv442OYqBoXEVueAlTRjaeJGdq/RzFcQFp6EJTyYpNw/BkDmLKrUeOkHLphBLit+Q
56dKeVnlKUNcnLmhbE+sos2OU6sYxyjmjvJQn3op1AvXs2uhZcNfdCi4J63XzwLF/R5l6ClQIIdg
UMnLZlOnY7PW8SsdopNcTeTpIJv5HA945JIa8MfJcRuo5QTS630A7Zp4pqpON7okn2ltYaxl2Q1v
UtQO5vgQoBwJ9blNR/+eTo+nk0Km+/PT6WRd7HJB5m+ezyXhLamYCo5GInEGXPIiZZP/pJ6mwG8D
gQvDjdPs+VwCi4KBJNUJ+fHEEkC953NJB6YCqkTmxKIUp2q/J00j8vZXGZtj2uSGKPVRYBW6j6/z
evTrPHC8Q3VulVaJ0zYujDilYThoIYl2ZDX2qkRBbJZnBkrJ/RDo0nFc2jVSCJavBve+imTCcuOm
db7QsWuPx7T1W3maSUZtXWR6UbQXSZudZ1ro38BxVh2sawdrFpRDeWlHm+CLhuvkZZ/03hEQGVWZ
ek6buv0oSSMfFtuwmVV5WZIO4PRYL3RXigNtqlRWVN7HGzOActxFA33liVabpU+KyPGqHHNcDum1
N6BLfeTnrmDkpV5x5OArRhcJXnbXwNgp0jagM9Tn0zZ3laMmxL627fLhSA5NrOVZd8o8pLI6TLUS
mMukV52hm0a1ZuZnmeVK0In1TEJfIkMnsO7LDZAYNUUEDAVX2CtWRlco6csjXHfC6jrUIjTZTD2L
lh36yyp0Ov7de2V6N7S6gxZp7oVBQeEutRaIyWjy9N8l+rhEtV8u0etV8scIy8VqB/FE/OXzQoVu
KiSaAGqpDpcV1bQfAaSCPyzymBbgMPwdxBp+XqiAyWxULmVViES9gpOZLG5BEmGVEu1BUv0d3olm
vS4lE4nCXRG7AbUVqjnGW/M1JiC4+tCWzsHFYr1KBuu77SiJTPo+AhwTWv1cEnCZANyMLAA0rGU8
WcDUoGWeTiJQNoOA22QCeANsLgU4ChgnF7AcH3xOC04nBa+TyflZX2uLQQB5MgHp0cH2uGB8PLA+
kFaDiVdFV52AARnggUxwQRS5S3xi5UtHQIZam4ZxAZ1e7qzvOKR0s6DNrmMI95YiFPhC5OZqyRqm
sZPf6TVelb6STWLB2A+8DMAEJP4kDzkaofW3gt9PR5r6UB0fbx7J/4bQARhoZEsTt9O/ZI8yAcGj
ZEBExEr8kZZVelPngZwRCSs6PVfgs2naOrNMYW02ZY+WCvwZGoPatDHQ7EU5/6IOevhxSTSOU+SU
azl4qCxr7co66bVvG8R25xHU0hIXE7dvnXHr1DRY+/Ta6pRwpMTqlwBoAkLO9Glp+iLwnjYnpluW
x7mcfAVvFhTYwG9SeYoUpeKNzFiHJRl6ITgtC2vpPryRN8jBWFiVlB1idJ2s3yV6+pmwIV1mQ5ee
opvQjyXLgd7pLOFJLJII2qaCChTwp8ixjjvDvbMcGSJjqPWL1CQtSHR5AYyWShDvTacfPxbXpKso
R4M25nluba/yjxsR5uNqQSVEhP7A3eIlVd8btECbWZwRpgKqPNEf8RaVgF6EjyiM4hGRobTYCIEU
k0vCaNlEeiwQAI4ik689EB2ugHYMmPxiTTSTQKNQEbk0AmsB3PEobDAhF+CQBpRIZcfLzgET2ak9
YgoNNSK++RYQXQBriYLRrQHgxEo3Ry0AlFggURwgKR3QFMhGpwVQlQLIil8hriowLIFAsyCvXWAE
j38qRYoZ6oTqrAP8YgoUDF85th91sA4AyDQCKSNRTJxqAj2DL8yoG6wjnBa/qEU8dQXOpqJChSDh
VSwQOL3A4miSfu3X7ddEKqdxeVPUijJ2cufSA8STAeZJsuEYCOVn2QlgTwL3KYH9+H0AlwkgEA6m
X2KBDELYBlwiWCEN0NBGoIcUgSOCPrRyXIi/MjaCgzmct0CONrJ9qwJBSkuJaFPA0Y2vWiYDuRRg
JW+zbAEv5UUL4l35HAlUk6yioS9wTj6QJhfgUwD/txZIKPwNvzYCG6W1yEEItJQGbCqK+DVgVIjN
VQAP4oUNwKqpkhN+cwAGAfbKEigsRNQAZNEy7tFoFTCtzSNkSzK9+wAQV2IEqHIIWBcuVmDW7kvg
Xq2DhD/wL1gAXyrgYOiukWsCENMUSN8Axgovu+sFgkylsoukEsZ4an1lK3k0UQTerCi0Ox8AWlsW
yNaBSEttHQ0pbwHo91IVmLV+aM4MgWLDIOrITQp74RTZfAPQzbfD20ANTyl4fbKSTB5FgQzrWPgc
R2cboHKhXN+GsX5dCAxdDJhOj1lqgOsgGCw7gbbzerSCsSWdRyrmfQDymCTHqUDobYDqla48w2kZ
td26uYvVfDIIVF8DvC8F5oeZ/Akm0yh1tNICH9G5DCCwQrQpBiDYNmiiDuFp51RHVTRcVgJJaMX5
mQa0sMuYsjYJfQzo0AV8iAbdUs+NRQUosdSz4w0gRUXbfG4ALRqAF2FfRCRLmN0YoBaAN4bAHBWB
dxwAPqKQc9oDhITkxwoDGrlB+Qdz1S8dkEmEldGW6amdwQcaB8Aq9cafJcAswfqe+MAu/41Nnopb
1IF+nj5cs7h95OB2lLb4ux+RCV0f2u7CGxjgqSFEvX9EJtqfCGOgzEOkoT3Vr7aRia7+CahANSCr
Ajeg2Uk8s00hdCQxBfkHei29EwUB1t8JTZTH3t+rHEKn3gbYXkDwTR6FPOZlH1Jx67IOCzO96ArZ
miUNhhV6pgOz1dv5xqKiC6WeXgXifEteQj6RMblFKwo4FyBhOb3z4V+cUb7rRqWm5ddBbepzo6vL
8zZ0swd4tvGRFdFd2UQIuwgtGSStHQl0d6xI3UWJ4NUyDwL9Ht5qNVNc/CbHrqsAjkvc5Dz0MufB
hkPXdxEkVUWRjiks47dpm/Gnyu6N+6ihBoV3Qn1WlRtrQXcHf3irlpCDM/r0s1bLgMe1Ul2nRh3d
GXKUzD2jRAsuc8tVgz77lN3YnxLNt1SLW0B3mya7hChHqgCS2vO9bNKwH7NrS6BqvgEf3egnCoiK
vpshbIiQ4VDV0holKeGFqUc1AHZq6MXS2mTIUHgY319vqEeP7LYuc9DLZFDtue1QUUSGWqcQBhwe
XFYCMTPDsMcAk+SfmFJCLObXlN1BB+fEO0Q/Tu5292YbaatesqDoSB0+L97GNI772uyvqzYdVrgj
GUQk4G9OvDaE6u8pzpGbNd5XZpKPctMwrNxyM6wBNt4VGGInnn8sWdSiYgUGc2uw0UpZ61FmUWqI
vr2NSrdS9adh2mE7Wjk4HHVxSljnt54/K+MKkZG8iTMw0/mtbvmUCh3lkxbmmznGuBjw0miicVVU
KG+X5rW9ybDzkCrnE6Gqed7hKDJBV8CRR2plpDcuSLM1mDHnq2S10jEqKGjkdfEysBXc2KsG00CJ
uuS0jfK8mgDPzr5bUlousPZJrkzFBr8pD+YXb1CsyeBYwSdMDPFCCfTgrJTy4F5xrXQMx7M/LcMh
vR/qTjph8mKpZCXoiXqFe0dPvv2UBAUVv7TzrxGmyC42DVrIMCEtzNh1HRGQsgTEiYzDBoeNzigx
ge/pbngoDM7VRl07ZjPSIw7ZrtUuqRYDeZNTU1kjDYWcE1qYIwfewahqiUv/v+zFW4iAaI2jQkXI
cFmvi/5qXaIiWz5X38VPL1I/qW7Sf/ZLv77Qtid/02f05FcPlLrJfqrC/1axrT316xcP//kfTyQm
0eB+tbs/PtjjU//yOtGKt6sfuIOGuRg6B+zeyLiLD5t7hC3e9seSoqpCtcg2wCy9/Bp/NQq/fsGn
4fz17/zy4d8OwjtDi38yCBwgnFG4qz1+SMtfD4ICb5W8F9GQp8+BDoVBZWDP+aDTkcJaSv7ZfIDd
q8Isk82tavaLNfOzVfHr7/rD5wMVyf0HgVKHJqhzu+cDRVXVIXaxnhA1hzcG76A+v78mHNa9wFuJ
6qz4vNsYKEpREtJ1gWBk0h3gIFBM3ns1gCQClwRj8+nzZmNgNZiOremCafn4OdChoPq371AwH3Sg
imCUn9YEx9HbPRI8K81s86kc+n88H14eloYhjOZ/eyrwgn+dk6x4QzdJZLZHBOnMq9cXM4HCjcUg
HfRM2B7jTxDiH6f4b4UM1JxNIIDIwDzNhLdDQSUbrAH1aNE2OsidQeaRf3s6iAn/13xAlELIQKlY
M7yeCLy9hfSjowELFJ+nW/0fr4YdsaO6/5ZgcwoKfLlKNCo+78ImlWCCcxKfuQOdCMrTg+23GlDh
pIUKlvt54b/eGGwaMY4Jru1gA+inB9tnECgDifCZ+tDTGLwNFgiYkEqVaV4d6nJ4pxn7+xETnXYd
wVID7t3jR2wYr1IpsggYMqRahzoT9A/ZEwgKUevZDsK7w4G6oO4Abdve6/A2xnft3N+fCQK7R2zM
Ibl7TxA4eiG2D+3rQDdG9SmI22NP0HlHBzs1IP9Pg8Crvl4ONLwpJwMyOYiAcccRqeyfSZpoVxEO
6PpPZoIIG/kZRygN98OMlf5J6Cy2vr9iJQTBgAEqmFC9nQIUl8AZsWc+ncOHtxlsH2yPdaAxBTQZ
LtY2HhQn4Kt18FhRIToAO3yoU2D/AMGE6KOYpI8/T6QtGwg0o3CggyAElPbOGbbS79sUeke8DAYO
qI9IKg5yM3iHlf8nZ6NjATqEBrY7VKTgTFaFNdTB1pW2U3SfPcEhCIITIJMl7g4VVUTCDAXVw0MN
EOSnHXu/QRAhkmCk/2QmIMVMzUXhcDzQ5aA9fTv7DIIFnFaWUX6jCfP4eXM6sBwoQQrO+6EWU4yn
b2ePQQAQYBEmwSTe7glsta+OSAZBlBGosh7qTNiGb3sMgqb/CVVC1WBU714OmIyK5FEXhCDxOdSh
eKcg+/tnhE1VnTwafdafDIVDjQ1BWHxTD3Rn2JY+95kPFgqSgl0PFvjx87amwqIw6FHRnDjUcoK8
f/5EtxEUEet+W2sWicWrmoqAGdl0X/RDjRu3+/Z+M4GIEHnw53LCju1RVQVdQ4CsDjJuFHTDPYNn
FaQZq8FR364DaosK1Ea6tduN80DHQN2/HWn9yUTgoLTJJrdHwKvVQCqJAINlq4IoID6HOhT751Js
DGgzAVTYbgzvcimKrbCbOEEONYIWOhj7rQniJlqyoFa20+F9A0amukQHhkPiQGeCsveiEMGjTSVV
f19d0tkY4CnZNKEOeTVsj649TghqrZRX2BbMbazAwn+1MRArQPxGifowmvOc4u9QXPvHCsTHRITw
6Z++bUFRejUIotBGZUFIbB/kahDB7r5bgkajDWkxVAW2M+HtIDATVOrRlkBJH2SoIDax/bZFMI1Q
30AuwZd7/LwLGtkWbRFWHmz7RXv6dvbYEhgEA69JYBjbUODdRBD9GfEfFZhtLHGQ80F7Orr2GQoy
KSJHXahCPX52xAqqQ4/GcZ6CiYONovc+LDUCRJje0La3dfh3swJuBhEDVI5Dzae2Oc5+80GUUai9
bk+KtxkF7VnRjyF4PNRBkPePHQkZUIKxVIH+Fp93MwEkMEVqDopDPSmE38aeJwWdSRMhSVBcP9kZ
5D/5IQhQAAvic6g7g/L0YPssCvJrcmukHH8C5lIMxgrqDUpGBz0U22bBPkMhoK5iRaCX8fyqrwJJ
VWNpWGhrikVzkIemkH/ac2lQg0VNUZTd34TR7I78wFLIrQ707fW9Q0iSSmrLVJVw8Hn8vAsh0fSy
hR7CFkZ5gMiFvQeBXAJdFkia4Hh2rwPhkK4qir1FCx3eIAhBtT3XgQGGVUVAh0D6Z4OA1Z1Ml/Iw
s0pD3h7g++yI1p9Y2CLV85xbv4uYqEQh/kpr6rCTCWPvCJqdgRPQpFX3EySLSLAhhNC3fso2DnWT
1PYPGTT2Bwwb0cbfvTSozCMkgzbNwfKk3qlr/X6v0uAdH0EM21FgWF8FC1SdBMMSMtWhBgtCrX/P
TRIdZxXxIvW5/Piu/kiR1hEIccJt8TnURSHc/fYcCpO4ichJk38G8oI3B8YLwbXfyKv+FyfrD4Ly
eONHD4/UZH9d7mIw/+wXnnma73/+olr7yKV69ZuCqvx086earvj3f71mLj+SA1/89Jks+Hin7d9v
X/H9zV/d7Pm9nv/n3F8Xq+IbYu+PhO3tgz4pmv93hLD5w+ptrfmpzPrX07ynWf+YAb+++i+scB8f
ZjeH+3938Xj1kBZvn5wclIWz95OPhNL783VekMmZj3tfe7zCcYGvpHy+1ovrE5Duf/00qst3XykD
Qy3gAy6eVAViv6hz7boFe8Pet5isoz/O02Ln+FPT2fv60+iPSVoweZ6v9WL82eb3vv6sWJfJrosT
Ee598aNoneyQsxTtmr2vPcczDdfL6vlSf42LaEHufflFnK0LfxU9X+rF5T9iyS6SfsegC/ba3k/+
CwnRfXexEz/xdmwEglax92OfrsIde5iA5n7ApctyvWMeiob9/hdPyz/+O/HW0XrXyHzEEj1bPbAB
Pz/qi4n4EUv0bFX4u4bmI5aouHaW7trdBXRm75E/WycP6Td/1+4laoYfcP3i2/rh+UJ/jbtIv/e/
eMqzP1/nxbU/4kzF7HrH5qJ+xCr9Gx/tfTeY81W2Y6KLktzeA36+blbvY0eKKR+xRJfFii3g+Slf
fJ0fsUQvotW39Y7YUdSn9h6Wi6iOdwV3wiJr74tf+YSOpf+wY2REtWLv61+vvhWkBMlOKd6PWKV/
q/W774R/ukGRrIqHnRuZ0L75gGFK/pj4a2/HpiC6wh9y/Rkr4Jtfftt1j49YvmKgjtNVXu86rQSk
4EPe4rT2yz+WXxEW3/UeH7GYxXucrar1rut/xHrm+tibjFbF19WumEH/iGX9dI9xtPsOH7Ow/8ak
Ze91t1ntzAlFp2n/mUQNY+fgf8hi/rXE594Dk0arXdGDQFbtPzAEJvGOA15QMfe/eLVK/DJa1Tvi
cCEGsf8NfmWot++436w3q11DIxocez/5DTE+6ofPV/orPhFUr/2vXrMT7DjiBdX6Ay5OgShOdl3+
I5bqZx6w3rVWhfLe3g9/n0Y79nnRy9//0vXXHQtJyIL9zaV3lWV/iL29L9Y+q/nt+rPXtWjxG9+i
9ar4r/8BAAD//w==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Gill Sans MT" panose="020B0502020104020203"/>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8.xml"/><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8</xdr:col>
      <xdr:colOff>92332</xdr:colOff>
      <xdr:row>0</xdr:row>
      <xdr:rowOff>190500</xdr:rowOff>
    </xdr:from>
    <xdr:to>
      <xdr:col>36</xdr:col>
      <xdr:colOff>244075</xdr:colOff>
      <xdr:row>47</xdr:row>
      <xdr:rowOff>172760</xdr:rowOff>
    </xdr:to>
    <xdr:sp macro="" textlink="">
      <xdr:nvSpPr>
        <xdr:cNvPr id="2" name="Rectangle 1">
          <a:extLst>
            <a:ext uri="{FF2B5EF4-FFF2-40B4-BE49-F238E27FC236}">
              <a16:creationId xmlns:a16="http://schemas.microsoft.com/office/drawing/2014/main" id="{14ACA76C-D133-4BEB-85DE-B481792D80E5}"/>
            </a:ext>
          </a:extLst>
        </xdr:cNvPr>
        <xdr:cNvSpPr/>
      </xdr:nvSpPr>
      <xdr:spPr>
        <a:xfrm>
          <a:off x="4918332" y="190500"/>
          <a:ext cx="17042743" cy="1042801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gradFill flip="none" rotWithShape="1">
              <a:gsLst>
                <a:gs pos="45000">
                  <a:schemeClr val="bg2">
                    <a:lumMod val="10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endParaRPr>
        </a:p>
      </xdr:txBody>
    </xdr:sp>
    <xdr:clientData/>
  </xdr:twoCellAnchor>
  <xdr:twoCellAnchor>
    <xdr:from>
      <xdr:col>4</xdr:col>
      <xdr:colOff>161638</xdr:colOff>
      <xdr:row>0</xdr:row>
      <xdr:rowOff>145762</xdr:rowOff>
    </xdr:from>
    <xdr:to>
      <xdr:col>8</xdr:col>
      <xdr:colOff>60156</xdr:colOff>
      <xdr:row>47</xdr:row>
      <xdr:rowOff>163080</xdr:rowOff>
    </xdr:to>
    <xdr:sp macro="" textlink="">
      <xdr:nvSpPr>
        <xdr:cNvPr id="3" name="Rectangle 2">
          <a:extLst>
            <a:ext uri="{FF2B5EF4-FFF2-40B4-BE49-F238E27FC236}">
              <a16:creationId xmlns:a16="http://schemas.microsoft.com/office/drawing/2014/main" id="{9A0B282D-B8A0-4F6E-BEED-E2D18FD344CF}"/>
            </a:ext>
          </a:extLst>
        </xdr:cNvPr>
        <xdr:cNvSpPr/>
      </xdr:nvSpPr>
      <xdr:spPr>
        <a:xfrm>
          <a:off x="2574638" y="145762"/>
          <a:ext cx="2311518" cy="10463068"/>
        </a:xfrm>
        <a:prstGeom prst="rect">
          <a:avLst/>
        </a:prstGeom>
        <a:solidFill>
          <a:schemeClr val="accent4"/>
        </a:solidFill>
        <a:ln>
          <a:solidFill>
            <a:schemeClr val="tx2"/>
          </a:solid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4</xdr:col>
      <xdr:colOff>350520</xdr:colOff>
      <xdr:row>3</xdr:row>
      <xdr:rowOff>201178</xdr:rowOff>
    </xdr:from>
    <xdr:ext cx="1889760" cy="941821"/>
    <xdr:sp macro="" textlink="">
      <xdr:nvSpPr>
        <xdr:cNvPr id="12" name="Rectangle 11">
          <a:extLst>
            <a:ext uri="{FF2B5EF4-FFF2-40B4-BE49-F238E27FC236}">
              <a16:creationId xmlns:a16="http://schemas.microsoft.com/office/drawing/2014/main" id="{CE3C1FB1-7683-4B18-8A53-B12F8121A17D}"/>
            </a:ext>
          </a:extLst>
        </xdr:cNvPr>
        <xdr:cNvSpPr/>
      </xdr:nvSpPr>
      <xdr:spPr>
        <a:xfrm>
          <a:off x="2788920" y="886978"/>
          <a:ext cx="1889760" cy="941821"/>
        </a:xfrm>
        <a:prstGeom prst="rect">
          <a:avLst/>
        </a:prstGeom>
        <a:solidFill>
          <a:schemeClr val="accent3">
            <a:lumMod val="20000"/>
            <a:lumOff val="8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lIns="144000" rIns="108000" rtlCol="0" anchor="t">
          <a:spAutoFit/>
          <a:scene3d>
            <a:camera prst="orthographicFront"/>
            <a:lightRig rig="threePt" dir="t"/>
          </a:scene3d>
          <a:sp3d extrusionH="57150">
            <a:bevelT w="38100" h="38100" prst="relaxedInset"/>
          </a:sp3d>
        </a:bodyPr>
        <a:lstStyle/>
        <a:p>
          <a:pPr marL="0" indent="0" algn="ctr"/>
          <a:r>
            <a:rPr lang="en-IN" sz="2400" b="1">
              <a:ln>
                <a:solidFill>
                  <a:srgbClr val="FF0000"/>
                </a:solidFill>
              </a:ln>
              <a:solidFill>
                <a:srgbClr val="FF0000"/>
              </a:solidFill>
              <a:latin typeface="+mn-lt"/>
              <a:ea typeface="+mn-ea"/>
              <a:cs typeface="+mn-cs"/>
            </a:rPr>
            <a:t>🛒</a:t>
          </a:r>
          <a:r>
            <a:rPr lang="en-IN" sz="1600" b="1">
              <a:ln>
                <a:solidFill>
                  <a:schemeClr val="accent1">
                    <a:shade val="15000"/>
                  </a:schemeClr>
                </a:solidFill>
              </a:ln>
              <a:noFill/>
              <a:latin typeface="+mn-lt"/>
              <a:ea typeface="+mn-ea"/>
              <a:cs typeface="+mn-cs"/>
            </a:rPr>
            <a:t>  Orders </a:t>
          </a:r>
        </a:p>
        <a:p>
          <a:pPr marL="0" indent="0" algn="ctr"/>
          <a:r>
            <a:rPr lang="en-IN" sz="1600" b="1" baseline="0">
              <a:ln>
                <a:solidFill>
                  <a:schemeClr val="accent1">
                    <a:shade val="15000"/>
                  </a:schemeClr>
                </a:solidFill>
              </a:ln>
              <a:noFill/>
              <a:latin typeface="+mn-lt"/>
              <a:ea typeface="+mn-ea"/>
              <a:cs typeface="+mn-cs"/>
            </a:rPr>
            <a:t>       </a:t>
          </a:r>
          <a:r>
            <a:rPr lang="en-IN" sz="1600" b="1">
              <a:ln>
                <a:solidFill>
                  <a:schemeClr val="accent1">
                    <a:shade val="15000"/>
                  </a:schemeClr>
                </a:solidFill>
              </a:ln>
              <a:noFill/>
              <a:latin typeface="+mn-lt"/>
              <a:ea typeface="+mn-ea"/>
              <a:cs typeface="+mn-cs"/>
            </a:rPr>
            <a:t>2,400 </a:t>
          </a:r>
        </a:p>
        <a:p>
          <a:pPr marL="0" indent="0" algn="l"/>
          <a:endParaRPr lang="en-IN" sz="1200" b="1">
            <a:ln>
              <a:solidFill>
                <a:schemeClr val="accent1">
                  <a:shade val="15000"/>
                </a:schemeClr>
              </a:solidFill>
            </a:ln>
            <a:noFill/>
            <a:latin typeface="+mn-lt"/>
            <a:ea typeface="+mn-ea"/>
            <a:cs typeface="+mn-cs"/>
          </a:endParaRPr>
        </a:p>
      </xdr:txBody>
    </xdr:sp>
    <xdr:clientData/>
  </xdr:oneCellAnchor>
  <xdr:twoCellAnchor>
    <xdr:from>
      <xdr:col>8</xdr:col>
      <xdr:colOff>333267</xdr:colOff>
      <xdr:row>1</xdr:row>
      <xdr:rowOff>125944</xdr:rowOff>
    </xdr:from>
    <xdr:to>
      <xdr:col>17</xdr:col>
      <xdr:colOff>555624</xdr:colOff>
      <xdr:row>17</xdr:row>
      <xdr:rowOff>174625</xdr:rowOff>
    </xdr:to>
    <xdr:graphicFrame macro="">
      <xdr:nvGraphicFramePr>
        <xdr:cNvPr id="4" name="Chart 3">
          <a:extLst>
            <a:ext uri="{FF2B5EF4-FFF2-40B4-BE49-F238E27FC236}">
              <a16:creationId xmlns:a16="http://schemas.microsoft.com/office/drawing/2014/main" id="{8BDD47CE-D4A4-4A5E-A4AE-A831D6625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190499</xdr:colOff>
      <xdr:row>1</xdr:row>
      <xdr:rowOff>116211</xdr:rowOff>
    </xdr:from>
    <xdr:to>
      <xdr:col>35</xdr:col>
      <xdr:colOff>587374</xdr:colOff>
      <xdr:row>17</xdr:row>
      <xdr:rowOff>174625</xdr:rowOff>
    </xdr:to>
    <xdr:graphicFrame macro="">
      <xdr:nvGraphicFramePr>
        <xdr:cNvPr id="24" name="Chart 23">
          <a:extLst>
            <a:ext uri="{FF2B5EF4-FFF2-40B4-BE49-F238E27FC236}">
              <a16:creationId xmlns:a16="http://schemas.microsoft.com/office/drawing/2014/main" id="{2EB95F0B-0380-40F0-953D-F6906A205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259080</xdr:colOff>
      <xdr:row>18</xdr:row>
      <xdr:rowOff>198121</xdr:rowOff>
    </xdr:from>
    <xdr:to>
      <xdr:col>16</xdr:col>
      <xdr:colOff>350521</xdr:colOff>
      <xdr:row>46</xdr:row>
      <xdr:rowOff>167641</xdr:rowOff>
    </xdr:to>
    <xdr:graphicFrame macro="">
      <xdr:nvGraphicFramePr>
        <xdr:cNvPr id="25" name="Chart 24">
          <a:extLst>
            <a:ext uri="{FF2B5EF4-FFF2-40B4-BE49-F238E27FC236}">
              <a16:creationId xmlns:a16="http://schemas.microsoft.com/office/drawing/2014/main" id="{0C9E62E4-DC5F-42C7-BFA3-CC8C74D1D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72991</xdr:colOff>
      <xdr:row>33</xdr:row>
      <xdr:rowOff>108818</xdr:rowOff>
    </xdr:from>
    <xdr:to>
      <xdr:col>14</xdr:col>
      <xdr:colOff>106680</xdr:colOff>
      <xdr:row>43</xdr:row>
      <xdr:rowOff>121919</xdr:rowOff>
    </xdr:to>
    <xdr:graphicFrame macro="">
      <xdr:nvGraphicFramePr>
        <xdr:cNvPr id="26" name="Chart 25">
          <a:extLst>
            <a:ext uri="{FF2B5EF4-FFF2-40B4-BE49-F238E27FC236}">
              <a16:creationId xmlns:a16="http://schemas.microsoft.com/office/drawing/2014/main" id="{8B197007-B2C6-4CD0-A867-A34FE5C6A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13607</xdr:colOff>
      <xdr:row>19</xdr:row>
      <xdr:rowOff>0</xdr:rowOff>
    </xdr:from>
    <xdr:to>
      <xdr:col>36</xdr:col>
      <xdr:colOff>5549</xdr:colOff>
      <xdr:row>32</xdr:row>
      <xdr:rowOff>63099</xdr:rowOff>
    </xdr:to>
    <xdr:graphicFrame macro="">
      <xdr:nvGraphicFramePr>
        <xdr:cNvPr id="29" name="Chart 28">
          <a:extLst>
            <a:ext uri="{FF2B5EF4-FFF2-40B4-BE49-F238E27FC236}">
              <a16:creationId xmlns:a16="http://schemas.microsoft.com/office/drawing/2014/main" id="{63ECFD5E-FEA0-41DF-BB34-C38F2D2B9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24765</xdr:colOff>
      <xdr:row>32</xdr:row>
      <xdr:rowOff>198755</xdr:rowOff>
    </xdr:from>
    <xdr:to>
      <xdr:col>36</xdr:col>
      <xdr:colOff>40822</xdr:colOff>
      <xdr:row>47</xdr:row>
      <xdr:rowOff>13607</xdr:rowOff>
    </xdr:to>
    <xdr:graphicFrame macro="">
      <xdr:nvGraphicFramePr>
        <xdr:cNvPr id="30" name="Chart 29">
          <a:extLst>
            <a:ext uri="{FF2B5EF4-FFF2-40B4-BE49-F238E27FC236}">
              <a16:creationId xmlns:a16="http://schemas.microsoft.com/office/drawing/2014/main" id="{7359DF02-95BB-4A89-96A9-D8512151C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350520</xdr:colOff>
      <xdr:row>30</xdr:row>
      <xdr:rowOff>115959</xdr:rowOff>
    </xdr:from>
    <xdr:to>
      <xdr:col>7</xdr:col>
      <xdr:colOff>417898</xdr:colOff>
      <xdr:row>38</xdr:row>
      <xdr:rowOff>143203</xdr:rowOff>
    </xdr:to>
    <mc:AlternateContent xmlns:mc="http://schemas.openxmlformats.org/markup-compatibility/2006" xmlns:a14="http://schemas.microsoft.com/office/drawing/2010/main">
      <mc:Choice Requires="a14">
        <xdr:graphicFrame macro="">
          <xdr:nvGraphicFramePr>
            <xdr:cNvPr id="31" name="Order Mode">
              <a:extLst>
                <a:ext uri="{FF2B5EF4-FFF2-40B4-BE49-F238E27FC236}">
                  <a16:creationId xmlns:a16="http://schemas.microsoft.com/office/drawing/2014/main" id="{881CCF58-E814-4FD8-BC5F-4E3E839595D4}"/>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788920" y="6973959"/>
              <a:ext cx="1896178" cy="1856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350520</xdr:colOff>
      <xdr:row>39</xdr:row>
      <xdr:rowOff>2623</xdr:rowOff>
    </xdr:from>
    <xdr:to>
      <xdr:col>7</xdr:col>
      <xdr:colOff>396875</xdr:colOff>
      <xdr:row>47</xdr:row>
      <xdr:rowOff>0</xdr:rowOff>
    </xdr:to>
    <mc:AlternateContent xmlns:mc="http://schemas.openxmlformats.org/markup-compatibility/2006" xmlns:a14="http://schemas.microsoft.com/office/drawing/2010/main">
      <mc:Choice Requires="a14">
        <xdr:graphicFrame macro="">
          <xdr:nvGraphicFramePr>
            <xdr:cNvPr id="33" name="Gender Value 1">
              <a:extLst>
                <a:ext uri="{FF2B5EF4-FFF2-40B4-BE49-F238E27FC236}">
                  <a16:creationId xmlns:a16="http://schemas.microsoft.com/office/drawing/2014/main" id="{7D952F35-34B3-4954-9447-566EB5F3F983}"/>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2788920" y="8918023"/>
              <a:ext cx="1926658" cy="1490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381000</xdr:colOff>
      <xdr:row>8</xdr:row>
      <xdr:rowOff>155775</xdr:rowOff>
    </xdr:from>
    <xdr:to>
      <xdr:col>7</xdr:col>
      <xdr:colOff>441960</xdr:colOff>
      <xdr:row>13</xdr:row>
      <xdr:rowOff>139109</xdr:rowOff>
    </xdr:to>
    <xdr:sp macro="" textlink="">
      <xdr:nvSpPr>
        <xdr:cNvPr id="10" name="Rectangle 9">
          <a:extLst>
            <a:ext uri="{FF2B5EF4-FFF2-40B4-BE49-F238E27FC236}">
              <a16:creationId xmlns:a16="http://schemas.microsoft.com/office/drawing/2014/main" id="{721F5C9B-12DA-4679-97F4-9539B9683951}"/>
            </a:ext>
          </a:extLst>
        </xdr:cNvPr>
        <xdr:cNvSpPr/>
      </xdr:nvSpPr>
      <xdr:spPr>
        <a:xfrm>
          <a:off x="2819400" y="1984575"/>
          <a:ext cx="1889760" cy="1126334"/>
        </a:xfrm>
        <a:prstGeom prst="rect">
          <a:avLst/>
        </a:prstGeom>
        <a:solidFill>
          <a:schemeClr val="accent3">
            <a:lumMod val="20000"/>
            <a:lumOff val="8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lIns="144000" rIns="108000" rtlCol="0" anchor="t">
          <a:spAutoFit/>
          <a:scene3d>
            <a:camera prst="orthographicFront"/>
            <a:lightRig rig="threePt" dir="t"/>
          </a:scene3d>
          <a:sp3d extrusionH="57150">
            <a:bevelT w="38100" h="38100" prst="relaxedInset"/>
          </a:sp3d>
        </a:bodyPr>
        <a:lstStyle/>
        <a:p>
          <a:pPr marL="0" indent="0" algn="ctr"/>
          <a:r>
            <a:rPr lang="en-IN" sz="2400" b="1">
              <a:ln>
                <a:solidFill>
                  <a:srgbClr val="FF0000"/>
                </a:solidFill>
              </a:ln>
              <a:solidFill>
                <a:srgbClr val="FF0000"/>
              </a:solidFill>
              <a:latin typeface="+mn-lt"/>
              <a:ea typeface="+mn-ea"/>
              <a:cs typeface="+mn-cs"/>
            </a:rPr>
            <a:t>👕 </a:t>
          </a:r>
          <a:r>
            <a:rPr lang="en-IN" sz="1800" b="0">
              <a:ln>
                <a:solidFill>
                  <a:schemeClr val="tx1">
                    <a:lumMod val="95000"/>
                    <a:lumOff val="5000"/>
                  </a:schemeClr>
                </a:solidFill>
              </a:ln>
              <a:solidFill>
                <a:srgbClr val="FF0000"/>
              </a:solidFill>
              <a:latin typeface="+mn-lt"/>
              <a:ea typeface="+mn-ea"/>
              <a:cs typeface="+mn-cs"/>
            </a:rPr>
            <a:t>Quantity </a:t>
          </a:r>
        </a:p>
        <a:p>
          <a:pPr marL="0" indent="0" algn="ctr"/>
          <a:r>
            <a:rPr lang="en-IN" sz="1800" b="0">
              <a:ln>
                <a:solidFill>
                  <a:schemeClr val="tx1">
                    <a:lumMod val="95000"/>
                    <a:lumOff val="5000"/>
                  </a:schemeClr>
                </a:solidFill>
              </a:ln>
              <a:solidFill>
                <a:srgbClr val="FF0000"/>
              </a:solidFill>
              <a:latin typeface="+mn-lt"/>
              <a:ea typeface="+mn-ea"/>
              <a:cs typeface="+mn-cs"/>
            </a:rPr>
            <a:t>       447 </a:t>
          </a:r>
        </a:p>
        <a:p>
          <a:pPr marL="0" indent="0" algn="ctr"/>
          <a:endParaRPr lang="en-IN" sz="2400" b="1">
            <a:ln>
              <a:solidFill>
                <a:srgbClr val="FF0000"/>
              </a:solidFill>
            </a:ln>
            <a:solidFill>
              <a:srgbClr val="FF0000"/>
            </a:solidFill>
            <a:latin typeface="+mn-lt"/>
            <a:ea typeface="+mn-ea"/>
            <a:cs typeface="+mn-cs"/>
          </a:endParaRPr>
        </a:p>
      </xdr:txBody>
    </xdr:sp>
    <xdr:clientData/>
  </xdr:twoCellAnchor>
  <xdr:twoCellAnchor>
    <xdr:from>
      <xdr:col>4</xdr:col>
      <xdr:colOff>350520</xdr:colOff>
      <xdr:row>14</xdr:row>
      <xdr:rowOff>130131</xdr:rowOff>
    </xdr:from>
    <xdr:to>
      <xdr:col>7</xdr:col>
      <xdr:colOff>441960</xdr:colOff>
      <xdr:row>19</xdr:row>
      <xdr:rowOff>15240</xdr:rowOff>
    </xdr:to>
    <xdr:sp macro="" textlink="">
      <xdr:nvSpPr>
        <xdr:cNvPr id="11" name="Rectangle 10">
          <a:extLst>
            <a:ext uri="{FF2B5EF4-FFF2-40B4-BE49-F238E27FC236}">
              <a16:creationId xmlns:a16="http://schemas.microsoft.com/office/drawing/2014/main" id="{B00C6E2B-ED88-4156-B440-BCDC5DDEF6D3}"/>
            </a:ext>
          </a:extLst>
        </xdr:cNvPr>
        <xdr:cNvSpPr/>
      </xdr:nvSpPr>
      <xdr:spPr>
        <a:xfrm>
          <a:off x="2788920" y="3330531"/>
          <a:ext cx="1920240" cy="1028109"/>
        </a:xfrm>
        <a:prstGeom prst="rect">
          <a:avLst/>
        </a:prstGeom>
        <a:solidFill>
          <a:schemeClr val="accent3">
            <a:lumMod val="20000"/>
            <a:lumOff val="8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lIns="144000" rIns="108000" rtlCol="0" anchor="ctr">
          <a:spAutoFit/>
          <a:scene3d>
            <a:camera prst="orthographicFront"/>
            <a:lightRig rig="threePt" dir="t"/>
          </a:scene3d>
          <a:sp3d extrusionH="57150">
            <a:bevelT w="38100" h="38100" prst="relaxedInset"/>
          </a:sp3d>
        </a:bodyPr>
        <a:lstStyle/>
        <a:p>
          <a:pPr marL="0" indent="0" algn="ctr"/>
          <a:r>
            <a:rPr lang="en-IN" sz="2000" b="1">
              <a:ln>
                <a:solidFill>
                  <a:srgbClr val="FF0000"/>
                </a:solidFill>
              </a:ln>
              <a:solidFill>
                <a:schemeClr val="tx1"/>
              </a:solidFill>
              <a:effectLst/>
              <a:latin typeface="+mn-lt"/>
              <a:ea typeface="+mn-ea"/>
              <a:cs typeface="+mn-cs"/>
            </a:rPr>
            <a:t> </a:t>
          </a:r>
          <a:r>
            <a:rPr lang="en-IN" sz="2400" b="1">
              <a:ln>
                <a:solidFill>
                  <a:srgbClr val="FF0000"/>
                </a:solidFill>
              </a:ln>
              <a:solidFill>
                <a:schemeClr val="tx1"/>
              </a:solidFill>
              <a:effectLst/>
              <a:latin typeface="+mn-lt"/>
              <a:ea typeface="+mn-ea"/>
              <a:cs typeface="+mn-cs"/>
            </a:rPr>
            <a:t>💰 </a:t>
          </a:r>
          <a:r>
            <a:rPr lang="en-IN" sz="1800" b="1">
              <a:ln>
                <a:solidFill>
                  <a:schemeClr val="accent1">
                    <a:shade val="15000"/>
                  </a:schemeClr>
                </a:solidFill>
              </a:ln>
              <a:noFill/>
              <a:latin typeface="+mn-lt"/>
              <a:ea typeface="+mn-ea"/>
              <a:cs typeface="+mn-cs"/>
            </a:rPr>
            <a:t>Amount </a:t>
          </a:r>
        </a:p>
        <a:p>
          <a:pPr marL="0" indent="0" algn="ctr"/>
          <a:r>
            <a:rPr lang="en-IN" sz="1800" b="1">
              <a:ln>
                <a:solidFill>
                  <a:schemeClr val="accent1">
                    <a:shade val="15000"/>
                  </a:schemeClr>
                </a:solidFill>
              </a:ln>
              <a:noFill/>
              <a:latin typeface="+mn-lt"/>
              <a:ea typeface="+mn-ea"/>
              <a:cs typeface="+mn-cs"/>
            </a:rPr>
            <a:t>        $31.4k </a:t>
          </a:r>
        </a:p>
        <a:p>
          <a:pPr marL="0" indent="0" algn="l"/>
          <a:endParaRPr lang="en-IN" sz="1800" b="1">
            <a:ln>
              <a:solidFill>
                <a:schemeClr val="accent1">
                  <a:shade val="15000"/>
                </a:schemeClr>
              </a:solidFill>
            </a:ln>
            <a:noFill/>
            <a:latin typeface="+mn-lt"/>
            <a:ea typeface="+mn-ea"/>
            <a:cs typeface="+mn-cs"/>
          </a:endParaRPr>
        </a:p>
      </xdr:txBody>
    </xdr:sp>
    <xdr:clientData/>
  </xdr:twoCellAnchor>
  <xdr:twoCellAnchor>
    <xdr:from>
      <xdr:col>4</xdr:col>
      <xdr:colOff>350520</xdr:colOff>
      <xdr:row>20</xdr:row>
      <xdr:rowOff>17545</xdr:rowOff>
    </xdr:from>
    <xdr:to>
      <xdr:col>7</xdr:col>
      <xdr:colOff>502920</xdr:colOff>
      <xdr:row>25</xdr:row>
      <xdr:rowOff>879</xdr:rowOff>
    </xdr:to>
    <xdr:sp macro="" textlink="">
      <xdr:nvSpPr>
        <xdr:cNvPr id="17" name="Rectangle 16">
          <a:extLst>
            <a:ext uri="{FF2B5EF4-FFF2-40B4-BE49-F238E27FC236}">
              <a16:creationId xmlns:a16="http://schemas.microsoft.com/office/drawing/2014/main" id="{AA61A5E5-12E9-42C3-8F0F-73350FD42933}"/>
            </a:ext>
          </a:extLst>
        </xdr:cNvPr>
        <xdr:cNvSpPr/>
      </xdr:nvSpPr>
      <xdr:spPr>
        <a:xfrm>
          <a:off x="2788920" y="4589545"/>
          <a:ext cx="1981200" cy="1126334"/>
        </a:xfrm>
        <a:prstGeom prst="rect">
          <a:avLst/>
        </a:prstGeom>
        <a:solidFill>
          <a:schemeClr val="accent3">
            <a:lumMod val="20000"/>
            <a:lumOff val="8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lIns="144000" rIns="108000" rtlCol="0" anchor="t">
          <a:spAutoFit/>
          <a:scene3d>
            <a:camera prst="orthographicFront"/>
            <a:lightRig rig="threePt" dir="t"/>
          </a:scene3d>
          <a:sp3d extrusionH="57150">
            <a:bevelT w="38100" h="38100" prst="relaxedInset"/>
          </a:sp3d>
        </a:bodyPr>
        <a:lstStyle/>
        <a:p>
          <a:pPr marL="0" indent="0" algn="ctr"/>
          <a:r>
            <a:rPr lang="en-IN" sz="2400" b="1">
              <a:ln>
                <a:solidFill>
                  <a:srgbClr val="FF0000"/>
                </a:solidFill>
              </a:ln>
              <a:solidFill>
                <a:srgbClr val="FF0000"/>
              </a:solidFill>
              <a:latin typeface="+mn-lt"/>
              <a:ea typeface="+mn-ea"/>
              <a:cs typeface="+mn-cs"/>
            </a:rPr>
            <a:t>⭐  </a:t>
          </a:r>
          <a:r>
            <a:rPr lang="en-IN" sz="1800" b="0">
              <a:ln>
                <a:solidFill>
                  <a:schemeClr val="tx1"/>
                </a:solidFill>
              </a:ln>
              <a:solidFill>
                <a:schemeClr val="tx1">
                  <a:lumMod val="95000"/>
                  <a:lumOff val="5000"/>
                </a:schemeClr>
              </a:solidFill>
              <a:latin typeface="+mn-lt"/>
              <a:ea typeface="+mn-ea"/>
              <a:cs typeface="+mn-cs"/>
            </a:rPr>
            <a:t>A</a:t>
          </a:r>
          <a:r>
            <a:rPr lang="en-IN" sz="1800" b="0">
              <a:ln>
                <a:solidFill>
                  <a:schemeClr val="tx1"/>
                </a:solidFill>
              </a:ln>
              <a:solidFill>
                <a:srgbClr val="002060"/>
              </a:solidFill>
              <a:latin typeface="+mn-lt"/>
              <a:ea typeface="+mn-ea"/>
              <a:cs typeface="+mn-cs"/>
            </a:rPr>
            <a:t>vg.Rating </a:t>
          </a:r>
        </a:p>
        <a:p>
          <a:pPr marL="0" indent="0" algn="ctr"/>
          <a:r>
            <a:rPr lang="en-IN" sz="1800" b="0">
              <a:ln>
                <a:solidFill>
                  <a:schemeClr val="tx1"/>
                </a:solidFill>
              </a:ln>
              <a:solidFill>
                <a:srgbClr val="002060"/>
              </a:solidFill>
              <a:latin typeface="+mn-lt"/>
              <a:ea typeface="+mn-ea"/>
              <a:cs typeface="+mn-cs"/>
            </a:rPr>
            <a:t>      4.0 </a:t>
          </a:r>
        </a:p>
        <a:p>
          <a:pPr marL="0" indent="0" algn="ctr"/>
          <a:endParaRPr lang="en-IN" sz="2400" b="1">
            <a:ln>
              <a:solidFill>
                <a:srgbClr val="FF0000"/>
              </a:solidFill>
            </a:ln>
            <a:solidFill>
              <a:srgbClr val="FF0000"/>
            </a:solidFill>
            <a:latin typeface="+mn-lt"/>
            <a:ea typeface="+mn-ea"/>
            <a:cs typeface="+mn-cs"/>
          </a:endParaRPr>
        </a:p>
      </xdr:txBody>
    </xdr:sp>
    <xdr:clientData/>
  </xdr:twoCellAnchor>
  <xdr:twoCellAnchor>
    <xdr:from>
      <xdr:col>4</xdr:col>
      <xdr:colOff>350520</xdr:colOff>
      <xdr:row>25</xdr:row>
      <xdr:rowOff>88899</xdr:rowOff>
    </xdr:from>
    <xdr:to>
      <xdr:col>7</xdr:col>
      <xdr:colOff>411480</xdr:colOff>
      <xdr:row>30</xdr:row>
      <xdr:rowOff>27939</xdr:rowOff>
    </xdr:to>
    <xdr:sp macro="" textlink="">
      <xdr:nvSpPr>
        <xdr:cNvPr id="18" name="Rectangle 17">
          <a:extLst>
            <a:ext uri="{FF2B5EF4-FFF2-40B4-BE49-F238E27FC236}">
              <a16:creationId xmlns:a16="http://schemas.microsoft.com/office/drawing/2014/main" id="{F878AD67-12AF-4808-B005-08EE2101C257}"/>
            </a:ext>
          </a:extLst>
        </xdr:cNvPr>
        <xdr:cNvSpPr/>
      </xdr:nvSpPr>
      <xdr:spPr>
        <a:xfrm>
          <a:off x="2788920" y="5803899"/>
          <a:ext cx="1889760" cy="1082040"/>
        </a:xfrm>
        <a:prstGeom prst="rect">
          <a:avLst/>
        </a:prstGeom>
        <a:solidFill>
          <a:schemeClr val="accent3">
            <a:lumMod val="20000"/>
            <a:lumOff val="8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lIns="144000" rIns="108000" rtlCol="0" anchor="ctr">
          <a:noAutofit/>
          <a:scene3d>
            <a:camera prst="orthographicFront"/>
            <a:lightRig rig="threePt" dir="t"/>
          </a:scene3d>
          <a:sp3d extrusionH="57150">
            <a:bevelT w="38100" h="38100" prst="relaxedInset"/>
          </a:sp3d>
        </a:bodyPr>
        <a:lstStyle/>
        <a:p>
          <a:pPr marL="0" indent="0" algn="ctr"/>
          <a:r>
            <a:rPr lang="en-IN" sz="2400" b="1">
              <a:ln>
                <a:solidFill>
                  <a:srgbClr val="FF0000"/>
                </a:solidFill>
              </a:ln>
              <a:noFill/>
              <a:latin typeface="+mn-lt"/>
              <a:ea typeface="+mn-ea"/>
              <a:cs typeface="+mn-cs"/>
            </a:rPr>
            <a:t>📅</a:t>
          </a:r>
          <a:r>
            <a:rPr lang="en-IN" sz="1800" b="1" baseline="0">
              <a:ln>
                <a:solidFill>
                  <a:schemeClr val="accent1">
                    <a:shade val="15000"/>
                  </a:schemeClr>
                </a:solidFill>
              </a:ln>
              <a:noFill/>
              <a:latin typeface="+mn-lt"/>
              <a:ea typeface="+mn-ea"/>
              <a:cs typeface="+mn-cs"/>
            </a:rPr>
            <a:t>   </a:t>
          </a:r>
          <a:r>
            <a:rPr lang="en-IN" sz="1800" b="1">
              <a:ln>
                <a:solidFill>
                  <a:schemeClr val="accent1">
                    <a:shade val="15000"/>
                  </a:schemeClr>
                </a:solidFill>
              </a:ln>
              <a:noFill/>
              <a:latin typeface="+mn-lt"/>
              <a:ea typeface="+mn-ea"/>
              <a:cs typeface="+mn-cs"/>
            </a:rPr>
            <a:t>Days to                 </a:t>
          </a:r>
          <a:r>
            <a:rPr lang="en-IN" sz="1800" b="1" baseline="0">
              <a:ln>
                <a:solidFill>
                  <a:schemeClr val="accent1">
                    <a:shade val="15000"/>
                  </a:schemeClr>
                </a:solidFill>
              </a:ln>
              <a:noFill/>
              <a:latin typeface="+mn-lt"/>
              <a:ea typeface="+mn-ea"/>
              <a:cs typeface="+mn-cs"/>
            </a:rPr>
            <a:t> </a:t>
          </a:r>
          <a:r>
            <a:rPr lang="en-IN" sz="1800" b="1">
              <a:ln>
                <a:solidFill>
                  <a:schemeClr val="accent1">
                    <a:shade val="15000"/>
                  </a:schemeClr>
                </a:solidFill>
              </a:ln>
              <a:noFill/>
              <a:latin typeface="+mn-lt"/>
              <a:ea typeface="+mn-ea"/>
              <a:cs typeface="+mn-cs"/>
            </a:rPr>
            <a:t>Deliver</a:t>
          </a:r>
        </a:p>
        <a:p>
          <a:pPr marL="0" indent="0" algn="ctr"/>
          <a:r>
            <a:rPr lang="en-IN" sz="1800" b="1">
              <a:ln>
                <a:solidFill>
                  <a:schemeClr val="accent1">
                    <a:shade val="15000"/>
                  </a:schemeClr>
                </a:solidFill>
              </a:ln>
              <a:noFill/>
              <a:latin typeface="+mn-lt"/>
              <a:ea typeface="+mn-ea"/>
              <a:cs typeface="+mn-cs"/>
            </a:rPr>
            <a:t>  2.1</a:t>
          </a:r>
        </a:p>
        <a:p>
          <a:pPr marL="0" indent="0" algn="ctr"/>
          <a:r>
            <a:rPr lang="en-IN" sz="1800" b="1">
              <a:ln>
                <a:solidFill>
                  <a:schemeClr val="accent1">
                    <a:shade val="15000"/>
                  </a:schemeClr>
                </a:solidFill>
              </a:ln>
              <a:noFill/>
              <a:latin typeface="+mn-lt"/>
              <a:ea typeface="+mn-ea"/>
              <a:cs typeface="+mn-cs"/>
            </a:rPr>
            <a:t> </a:t>
          </a:r>
        </a:p>
      </xdr:txBody>
    </xdr:sp>
    <xdr:clientData/>
  </xdr:twoCellAnchor>
  <xdr:twoCellAnchor>
    <xdr:from>
      <xdr:col>8</xdr:col>
      <xdr:colOff>105352</xdr:colOff>
      <xdr:row>0</xdr:row>
      <xdr:rowOff>128616</xdr:rowOff>
    </xdr:from>
    <xdr:to>
      <xdr:col>8</xdr:col>
      <xdr:colOff>122670</xdr:colOff>
      <xdr:row>47</xdr:row>
      <xdr:rowOff>180571</xdr:rowOff>
    </xdr:to>
    <xdr:cxnSp macro="">
      <xdr:nvCxnSpPr>
        <xdr:cNvPr id="15" name="Straight Connector 14">
          <a:extLst>
            <a:ext uri="{FF2B5EF4-FFF2-40B4-BE49-F238E27FC236}">
              <a16:creationId xmlns:a16="http://schemas.microsoft.com/office/drawing/2014/main" id="{99055EB6-FF1B-D582-E6CD-C92F1F87128B}"/>
            </a:ext>
          </a:extLst>
        </xdr:cNvPr>
        <xdr:cNvCxnSpPr/>
      </xdr:nvCxnSpPr>
      <xdr:spPr>
        <a:xfrm>
          <a:off x="4931352" y="128616"/>
          <a:ext cx="17318" cy="10497705"/>
        </a:xfrm>
        <a:prstGeom prst="line">
          <a:avLst/>
        </a:prstGeom>
        <a:ln>
          <a:solidFill>
            <a:schemeClr val="bg1"/>
          </a:solidFill>
        </a:ln>
        <a:effectLst>
          <a:outerShdw blurRad="38100" dist="25400" dir="5400000" rotWithShape="0">
            <a:srgbClr val="000000">
              <a:alpha val="55000"/>
            </a:srgbClr>
          </a:outerShdw>
          <a:reflection blurRad="6350" stA="52000" endA="300" endPos="35000" dir="5400000" sy="-100000" algn="bl" rotWithShape="0"/>
        </a:effectLst>
      </xdr:spPr>
      <xdr:style>
        <a:lnRef idx="3">
          <a:schemeClr val="accent4"/>
        </a:lnRef>
        <a:fillRef idx="0">
          <a:schemeClr val="accent4"/>
        </a:fillRef>
        <a:effectRef idx="2">
          <a:schemeClr val="accent4"/>
        </a:effectRef>
        <a:fontRef idx="minor">
          <a:schemeClr val="tx1"/>
        </a:fontRef>
      </xdr:style>
    </xdr:cxnSp>
    <xdr:clientData/>
  </xdr:twoCellAnchor>
  <xdr:twoCellAnchor>
    <xdr:from>
      <xdr:col>16</xdr:col>
      <xdr:colOff>542441</xdr:colOff>
      <xdr:row>19</xdr:row>
      <xdr:rowOff>0</xdr:rowOff>
    </xdr:from>
    <xdr:to>
      <xdr:col>27</xdr:col>
      <xdr:colOff>539750</xdr:colOff>
      <xdr:row>47</xdr:row>
      <xdr:rowOff>31749</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A33D03C1-3C15-4AD1-B49A-DB76252356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296041" y="4343400"/>
              <a:ext cx="6702909" cy="64325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12915</xdr:colOff>
      <xdr:row>23</xdr:row>
      <xdr:rowOff>209176</xdr:rowOff>
    </xdr:from>
    <xdr:to>
      <xdr:col>27</xdr:col>
      <xdr:colOff>119528</xdr:colOff>
      <xdr:row>35</xdr:row>
      <xdr:rowOff>44823</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3381D294-2715-43C4-B720-A1857A0159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643315" y="5466976"/>
              <a:ext cx="1935413" cy="25788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71887</xdr:colOff>
      <xdr:row>1</xdr:row>
      <xdr:rowOff>100641</xdr:rowOff>
    </xdr:from>
    <xdr:to>
      <xdr:col>28</xdr:col>
      <xdr:colOff>79375</xdr:colOff>
      <xdr:row>17</xdr:row>
      <xdr:rowOff>158750</xdr:rowOff>
    </xdr:to>
    <xdr:graphicFrame macro="">
      <xdr:nvGraphicFramePr>
        <xdr:cNvPr id="7" name="Chart 6">
          <a:extLst>
            <a:ext uri="{FF2B5EF4-FFF2-40B4-BE49-F238E27FC236}">
              <a16:creationId xmlns:a16="http://schemas.microsoft.com/office/drawing/2014/main" id="{DEE88E89-6E1F-4524-BBF3-C5B06AA94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406285</xdr:colOff>
      <xdr:row>71</xdr:row>
      <xdr:rowOff>35675</xdr:rowOff>
    </xdr:from>
    <xdr:to>
      <xdr:col>12</xdr:col>
      <xdr:colOff>675409</xdr:colOff>
      <xdr:row>78</xdr:row>
      <xdr:rowOff>17318</xdr:rowOff>
    </xdr:to>
    <mc:AlternateContent xmlns:mc="http://schemas.openxmlformats.org/markup-compatibility/2006" xmlns:a14="http://schemas.microsoft.com/office/drawing/2010/main">
      <mc:Choice Requires="a14">
        <xdr:graphicFrame macro="">
          <xdr:nvGraphicFramePr>
            <xdr:cNvPr id="18" name="Gender Value" hidden="1">
              <a:extLst>
                <a:ext uri="{FF2B5EF4-FFF2-40B4-BE49-F238E27FC236}">
                  <a16:creationId xmlns:a16="http://schemas.microsoft.com/office/drawing/2014/main" id="{8E6B30AB-9A45-A663-21BF-58ABA4C0CBAC}"/>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8519853" y="12946380"/>
              <a:ext cx="1853738" cy="1557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1393421</xdr:colOff>
      <xdr:row>68</xdr:row>
      <xdr:rowOff>96289</xdr:rowOff>
    </xdr:from>
    <xdr:to>
      <xdr:col>15</xdr:col>
      <xdr:colOff>300644</xdr:colOff>
      <xdr:row>79</xdr:row>
      <xdr:rowOff>201064</xdr:rowOff>
    </xdr:to>
    <mc:AlternateContent xmlns:mc="http://schemas.openxmlformats.org/markup-compatibility/2006" xmlns:a14="http://schemas.microsoft.com/office/drawing/2010/main">
      <mc:Choice Requires="a14">
        <xdr:graphicFrame macro="">
          <xdr:nvGraphicFramePr>
            <xdr:cNvPr id="19" name="Order Mode 1" hidden="1">
              <a:extLst>
                <a:ext uri="{FF2B5EF4-FFF2-40B4-BE49-F238E27FC236}">
                  <a16:creationId xmlns:a16="http://schemas.microsoft.com/office/drawing/2014/main" id="{9F08335F-A8FE-4916-2B08-E9557AC30E78}"/>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1334057" y="1246147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20</xdr:col>
          <xdr:colOff>0</xdr:colOff>
          <xdr:row>8</xdr:row>
          <xdr:rowOff>0</xdr:rowOff>
        </xdr:from>
        <xdr:to>
          <xdr:col>22</xdr:col>
          <xdr:colOff>865910</xdr:colOff>
          <xdr:row>14</xdr:row>
          <xdr:rowOff>0</xdr:rowOff>
        </xdr:to>
        <xdr:pic>
          <xdr:nvPicPr>
            <xdr:cNvPr id="4" name="Picture 3" hidden="1">
              <a:extLst>
                <a:ext uri="{FF2B5EF4-FFF2-40B4-BE49-F238E27FC236}">
                  <a16:creationId xmlns:a16="http://schemas.microsoft.com/office/drawing/2014/main" id="{59098DAE-1D67-7E05-C74C-CB00BA25DD60}"/>
                </a:ext>
              </a:extLst>
            </xdr:cNvPr>
            <xdr:cNvPicPr>
              <a:picLocks noChangeAspect="1" noChangeArrowheads="1"/>
              <a:extLst>
                <a:ext uri="{84589F7E-364E-4C9E-8A38-B11213B215E9}">
                  <a14:cameraTool cellRange="$N$6:$R$11" spid="_x0000_s4162"/>
                </a:ext>
              </a:extLst>
            </xdr:cNvPicPr>
          </xdr:nvPicPr>
          <xdr:blipFill>
            <a:blip xmlns:r="http://schemas.openxmlformats.org/officeDocument/2006/relationships" r:embed="rId1"/>
            <a:srcRect/>
            <a:stretch>
              <a:fillRect/>
            </a:stretch>
          </xdr:blipFill>
          <xdr:spPr bwMode="auto">
            <a:xfrm>
              <a:off x="16815955" y="1801091"/>
              <a:ext cx="3022023" cy="135081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1338263</xdr:colOff>
      <xdr:row>1</xdr:row>
      <xdr:rowOff>38100</xdr:rowOff>
    </xdr:from>
    <xdr:to>
      <xdr:col>19</xdr:col>
      <xdr:colOff>485775</xdr:colOff>
      <xdr:row>12</xdr:row>
      <xdr:rowOff>190500</xdr:rowOff>
    </xdr:to>
    <xdr:graphicFrame macro="">
      <xdr:nvGraphicFramePr>
        <xdr:cNvPr id="5" name="Chart 4">
          <a:extLst>
            <a:ext uri="{FF2B5EF4-FFF2-40B4-BE49-F238E27FC236}">
              <a16:creationId xmlns:a16="http://schemas.microsoft.com/office/drawing/2014/main" id="{E8F6165B-338A-8261-E61D-F48A8060C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28575</xdr:colOff>
      <xdr:row>38</xdr:row>
      <xdr:rowOff>171450</xdr:rowOff>
    </xdr:from>
    <xdr:to>
      <xdr:col>49</xdr:col>
      <xdr:colOff>0</xdr:colOff>
      <xdr:row>59</xdr:row>
      <xdr:rowOff>19050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DA1B4BB1-6297-4B05-B432-9E1F5D4A5F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9713535" y="8858250"/>
              <a:ext cx="5457825" cy="4648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dekula Alla Rasool" refreshedDate="46273.948763425928" createdVersion="8" refreshedVersion="8" minRefreshableVersion="3" recordCount="2400" xr:uid="{53AEEFA1-04A8-4F9E-BBD2-6B927F14ACF8}">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640061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80236A-2405-4678-B0A3-B29FBAAC81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U31:V36"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Row" showAll="0">
      <items count="5">
        <item x="0"/>
        <item x="2"/>
        <item x="1"/>
        <item x="3"/>
        <item t="default"/>
      </items>
    </pivotField>
    <pivotField showAll="0"/>
    <pivotField showAll="0"/>
    <pivotField showAll="0"/>
    <pivotField showAll="0"/>
    <pivotField showAll="0"/>
    <pivotField showAll="0"/>
    <pivotField showAll="0"/>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Quantity" fld="2" baseField="0" baseItem="0"/>
  </dataFields>
  <chartFormats count="1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3" format="8" series="1">
      <pivotArea type="data" outline="0" fieldPosition="0">
        <references count="2">
          <reference field="4294967294" count="1" selected="0">
            <x v="0"/>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1"/>
          </reference>
        </references>
      </pivotArea>
    </chartFormat>
    <chartFormat chart="3" format="10" series="1">
      <pivotArea type="data" outline="0" fieldPosition="0">
        <references count="2">
          <reference field="4294967294" count="1" selected="0">
            <x v="0"/>
          </reference>
          <reference field="7" count="1" selected="0">
            <x v="2"/>
          </reference>
        </references>
      </pivotArea>
    </chartFormat>
    <chartFormat chart="3" format="11" series="1">
      <pivotArea type="data" outline="0" fieldPosition="0">
        <references count="2">
          <reference field="4294967294" count="1" selected="0">
            <x v="0"/>
          </reference>
          <reference field="7"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 chart="8" format="8">
      <pivotArea type="data" outline="0" fieldPosition="0">
        <references count="2">
          <reference field="4294967294" count="1" selected="0">
            <x v="0"/>
          </reference>
          <reference field="7" count="1" selected="0">
            <x v="1"/>
          </reference>
        </references>
      </pivotArea>
    </chartFormat>
    <chartFormat chart="8" format="9">
      <pivotArea type="data" outline="0" fieldPosition="0">
        <references count="2">
          <reference field="4294967294" count="1" selected="0">
            <x v="0"/>
          </reference>
          <reference field="7" count="1" selected="0">
            <x v="2"/>
          </reference>
        </references>
      </pivotArea>
    </chartFormat>
    <chartFormat chart="8"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0EEDCD-7AF6-43BE-828A-12F5C001B5B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V41:Y99"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chartFormats count="2">
    <chartFormat chart="5"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01DEED-530D-477A-9AA3-782E6EB491E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56:D72"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45C0BF-A4AD-4AB2-9CC6-C3F917ADB52B}" name="Pivotratinjg"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H60:N65"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6" format="13" series="1">
      <pivotArea type="data" outline="0" fieldPosition="0">
        <references count="2">
          <reference field="4294967294" count="1" selected="0">
            <x v="0"/>
          </reference>
          <reference field="9" count="1" selected="0">
            <x v="0"/>
          </reference>
        </references>
      </pivotArea>
    </chartFormat>
    <chartFormat chart="16" format="14" series="1">
      <pivotArea type="data" outline="0" fieldPosition="0">
        <references count="2">
          <reference field="4294967294" count="1" selected="0">
            <x v="0"/>
          </reference>
          <reference field="9" count="1" selected="0">
            <x v="1"/>
          </reference>
        </references>
      </pivotArea>
    </chartFormat>
    <chartFormat chart="16" format="15" series="1">
      <pivotArea type="data" outline="0" fieldPosition="0">
        <references count="2">
          <reference field="4294967294" count="1" selected="0">
            <x v="0"/>
          </reference>
          <reference field="9" count="1" selected="0">
            <x v="2"/>
          </reference>
        </references>
      </pivotArea>
    </chartFormat>
    <chartFormat chart="16" format="16" series="1">
      <pivotArea type="data" outline="0" fieldPosition="0">
        <references count="2">
          <reference field="4294967294" count="1" selected="0">
            <x v="0"/>
          </reference>
          <reference field="9" count="1" selected="0">
            <x v="3"/>
          </reference>
        </references>
      </pivotArea>
    </chartFormat>
    <chartFormat chart="16"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0398E9-8960-4317-AFBD-8D7260CC001C}"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2:H40"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31E4B2-D8A8-4AD9-8884-62DA0C01FF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1:R53"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pivotField showAll="0"/>
    <pivotField showAll="0"/>
    <pivotField showAll="0"/>
    <pivotField showAll="0"/>
    <pivotField showAll="0"/>
    <pivotField showAll="0"/>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4">
    <chartFormat chart="3" format="8" series="1">
      <pivotArea type="data" outline="0" fieldPosition="0">
        <references count="2">
          <reference field="4294967294" count="1" selected="0">
            <x v="0"/>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1"/>
          </reference>
        </references>
      </pivotArea>
    </chartFormat>
    <chartFormat chart="3" format="10" series="1">
      <pivotArea type="data" outline="0" fieldPosition="0">
        <references count="2">
          <reference field="4294967294" count="1" selected="0">
            <x v="0"/>
          </reference>
          <reference field="7" count="1" selected="0">
            <x v="2"/>
          </reference>
        </references>
      </pivotArea>
    </chartFormat>
    <chartFormat chart="3"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EE02C9-0F92-4D51-BBE1-F510F524BF9B}" name="pvt 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6:L23"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chartFormats count="48">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3" format="28" series="1">
      <pivotArea type="data" outline="0" fieldPosition="0">
        <references count="2">
          <reference field="4294967294" count="1" selected="0">
            <x v="0"/>
          </reference>
          <reference field="14" count="1" selected="0">
            <x v="0"/>
          </reference>
        </references>
      </pivotArea>
    </chartFormat>
    <chartFormat chart="3" format="29">
      <pivotArea type="data" outline="0" fieldPosition="0">
        <references count="3">
          <reference field="4294967294" count="1" selected="0">
            <x v="0"/>
          </reference>
          <reference field="8" count="1" selected="0">
            <x v="0"/>
          </reference>
          <reference field="14" count="1" selected="0">
            <x v="0"/>
          </reference>
        </references>
      </pivotArea>
    </chartFormat>
    <chartFormat chart="3" format="30">
      <pivotArea type="data" outline="0" fieldPosition="0">
        <references count="3">
          <reference field="4294967294" count="1" selected="0">
            <x v="0"/>
          </reference>
          <reference field="8" count="1" selected="0">
            <x v="1"/>
          </reference>
          <reference field="14" count="1" selected="0">
            <x v="0"/>
          </reference>
        </references>
      </pivotArea>
    </chartFormat>
    <chartFormat chart="3" format="31">
      <pivotArea type="data" outline="0" fieldPosition="0">
        <references count="3">
          <reference field="4294967294" count="1" selected="0">
            <x v="0"/>
          </reference>
          <reference field="8" count="1" selected="0">
            <x v="2"/>
          </reference>
          <reference field="14" count="1" selected="0">
            <x v="0"/>
          </reference>
        </references>
      </pivotArea>
    </chartFormat>
    <chartFormat chart="3" format="32">
      <pivotArea type="data" outline="0" fieldPosition="0">
        <references count="3">
          <reference field="4294967294" count="1" selected="0">
            <x v="0"/>
          </reference>
          <reference field="8" count="1" selected="0">
            <x v="3"/>
          </reference>
          <reference field="14" count="1" selected="0">
            <x v="0"/>
          </reference>
        </references>
      </pivotArea>
    </chartFormat>
    <chartFormat chart="3" format="33">
      <pivotArea type="data" outline="0" fieldPosition="0">
        <references count="3">
          <reference field="4294967294" count="1" selected="0">
            <x v="0"/>
          </reference>
          <reference field="8" count="1" selected="0">
            <x v="4"/>
          </reference>
          <reference field="14" count="1" selected="0">
            <x v="0"/>
          </reference>
        </references>
      </pivotArea>
    </chartFormat>
    <chartFormat chart="3" format="34" series="1">
      <pivotArea type="data" outline="0" fieldPosition="0">
        <references count="2">
          <reference field="4294967294" count="1" selected="0">
            <x v="0"/>
          </reference>
          <reference field="14" count="1" selected="0">
            <x v="1"/>
          </reference>
        </references>
      </pivotArea>
    </chartFormat>
    <chartFormat chart="3" format="35">
      <pivotArea type="data" outline="0" fieldPosition="0">
        <references count="3">
          <reference field="4294967294" count="1" selected="0">
            <x v="0"/>
          </reference>
          <reference field="8" count="1" selected="0">
            <x v="0"/>
          </reference>
          <reference field="14" count="1" selected="0">
            <x v="1"/>
          </reference>
        </references>
      </pivotArea>
    </chartFormat>
    <chartFormat chart="3" format="36">
      <pivotArea type="data" outline="0" fieldPosition="0">
        <references count="3">
          <reference field="4294967294" count="1" selected="0">
            <x v="0"/>
          </reference>
          <reference field="8" count="1" selected="0">
            <x v="1"/>
          </reference>
          <reference field="14" count="1" selected="0">
            <x v="1"/>
          </reference>
        </references>
      </pivotArea>
    </chartFormat>
    <chartFormat chart="3" format="37">
      <pivotArea type="data" outline="0" fieldPosition="0">
        <references count="3">
          <reference field="4294967294" count="1" selected="0">
            <x v="0"/>
          </reference>
          <reference field="8" count="1" selected="0">
            <x v="2"/>
          </reference>
          <reference field="14" count="1" selected="0">
            <x v="1"/>
          </reference>
        </references>
      </pivotArea>
    </chartFormat>
    <chartFormat chart="3" format="38">
      <pivotArea type="data" outline="0" fieldPosition="0">
        <references count="3">
          <reference field="4294967294" count="1" selected="0">
            <x v="0"/>
          </reference>
          <reference field="8" count="1" selected="0">
            <x v="3"/>
          </reference>
          <reference field="14" count="1" selected="0">
            <x v="1"/>
          </reference>
        </references>
      </pivotArea>
    </chartFormat>
    <chartFormat chart="3" format="39">
      <pivotArea type="data" outline="0" fieldPosition="0">
        <references count="3">
          <reference field="4294967294" count="1" selected="0">
            <x v="0"/>
          </reference>
          <reference field="8" count="1" selected="0">
            <x v="4"/>
          </reference>
          <reference field="14" count="1" selected="0">
            <x v="1"/>
          </reference>
        </references>
      </pivotArea>
    </chartFormat>
    <chartFormat chart="3" format="40" series="1">
      <pivotArea type="data" outline="0" fieldPosition="0">
        <references count="2">
          <reference field="4294967294" count="1" selected="0">
            <x v="0"/>
          </reference>
          <reference field="14" count="1" selected="0">
            <x v="2"/>
          </reference>
        </references>
      </pivotArea>
    </chartFormat>
    <chartFormat chart="3" format="41">
      <pivotArea type="data" outline="0" fieldPosition="0">
        <references count="3">
          <reference field="4294967294" count="1" selected="0">
            <x v="0"/>
          </reference>
          <reference field="8" count="1" selected="0">
            <x v="0"/>
          </reference>
          <reference field="14" count="1" selected="0">
            <x v="2"/>
          </reference>
        </references>
      </pivotArea>
    </chartFormat>
    <chartFormat chart="3" format="42">
      <pivotArea type="data" outline="0" fieldPosition="0">
        <references count="3">
          <reference field="4294967294" count="1" selected="0">
            <x v="0"/>
          </reference>
          <reference field="8" count="1" selected="0">
            <x v="1"/>
          </reference>
          <reference field="14" count="1" selected="0">
            <x v="2"/>
          </reference>
        </references>
      </pivotArea>
    </chartFormat>
    <chartFormat chart="3" format="43">
      <pivotArea type="data" outline="0" fieldPosition="0">
        <references count="3">
          <reference field="4294967294" count="1" selected="0">
            <x v="0"/>
          </reference>
          <reference field="8" count="1" selected="0">
            <x v="2"/>
          </reference>
          <reference field="14" count="1" selected="0">
            <x v="2"/>
          </reference>
        </references>
      </pivotArea>
    </chartFormat>
    <chartFormat chart="3" format="44">
      <pivotArea type="data" outline="0" fieldPosition="0">
        <references count="3">
          <reference field="4294967294" count="1" selected="0">
            <x v="0"/>
          </reference>
          <reference field="8" count="1" selected="0">
            <x v="3"/>
          </reference>
          <reference field="14" count="1" selected="0">
            <x v="2"/>
          </reference>
        </references>
      </pivotArea>
    </chartFormat>
    <chartFormat chart="3" format="45">
      <pivotArea type="data" outline="0" fieldPosition="0">
        <references count="3">
          <reference field="4294967294" count="1" selected="0">
            <x v="0"/>
          </reference>
          <reference field="8" count="1" selected="0">
            <x v="4"/>
          </reference>
          <reference field="14" count="1" selected="0">
            <x v="2"/>
          </reference>
        </references>
      </pivotArea>
    </chartFormat>
    <chartFormat chart="3" format="46" series="1">
      <pivotArea type="data" outline="0" fieldPosition="0">
        <references count="2">
          <reference field="4294967294" count="1" selected="0">
            <x v="0"/>
          </reference>
          <reference field="14" count="1" selected="0">
            <x v="3"/>
          </reference>
        </references>
      </pivotArea>
    </chartFormat>
    <chartFormat chart="3" format="47">
      <pivotArea type="data" outline="0" fieldPosition="0">
        <references count="3">
          <reference field="4294967294" count="1" selected="0">
            <x v="0"/>
          </reference>
          <reference field="8" count="1" selected="0">
            <x v="0"/>
          </reference>
          <reference field="14" count="1" selected="0">
            <x v="3"/>
          </reference>
        </references>
      </pivotArea>
    </chartFormat>
    <chartFormat chart="3" format="48">
      <pivotArea type="data" outline="0" fieldPosition="0">
        <references count="3">
          <reference field="4294967294" count="1" selected="0">
            <x v="0"/>
          </reference>
          <reference field="8" count="1" selected="0">
            <x v="1"/>
          </reference>
          <reference field="14" count="1" selected="0">
            <x v="3"/>
          </reference>
        </references>
      </pivotArea>
    </chartFormat>
    <chartFormat chart="3" format="49">
      <pivotArea type="data" outline="0" fieldPosition="0">
        <references count="3">
          <reference field="4294967294" count="1" selected="0">
            <x v="0"/>
          </reference>
          <reference field="8" count="1" selected="0">
            <x v="2"/>
          </reference>
          <reference field="14" count="1" selected="0">
            <x v="3"/>
          </reference>
        </references>
      </pivotArea>
    </chartFormat>
    <chartFormat chart="3" format="50">
      <pivotArea type="data" outline="0" fieldPosition="0">
        <references count="3">
          <reference field="4294967294" count="1" selected="0">
            <x v="0"/>
          </reference>
          <reference field="8" count="1" selected="0">
            <x v="3"/>
          </reference>
          <reference field="14" count="1" selected="0">
            <x v="3"/>
          </reference>
        </references>
      </pivotArea>
    </chartFormat>
    <chartFormat chart="3" format="51">
      <pivotArea type="data" outline="0" fieldPosition="0">
        <references count="3">
          <reference field="4294967294" count="1" selected="0">
            <x v="0"/>
          </reference>
          <reference field="8" count="1" selected="0">
            <x v="4"/>
          </reference>
          <reference field="14" count="1" selected="0">
            <x v="3"/>
          </reference>
        </references>
      </pivotArea>
    </chartFormat>
    <chartFormat chart="0" format="4">
      <pivotArea type="data" outline="0" fieldPosition="0">
        <references count="3">
          <reference field="4294967294" count="1" selected="0">
            <x v="0"/>
          </reference>
          <reference field="8" count="1" selected="0">
            <x v="0"/>
          </reference>
          <reference field="14" count="1" selected="0">
            <x v="0"/>
          </reference>
        </references>
      </pivotArea>
    </chartFormat>
    <chartFormat chart="0" format="5">
      <pivotArea type="data" outline="0" fieldPosition="0">
        <references count="3">
          <reference field="4294967294" count="1" selected="0">
            <x v="0"/>
          </reference>
          <reference field="8" count="1" selected="0">
            <x v="1"/>
          </reference>
          <reference field="14" count="1" selected="0">
            <x v="0"/>
          </reference>
        </references>
      </pivotArea>
    </chartFormat>
    <chartFormat chart="0" format="6">
      <pivotArea type="data" outline="0" fieldPosition="0">
        <references count="3">
          <reference field="4294967294" count="1" selected="0">
            <x v="0"/>
          </reference>
          <reference field="8" count="1" selected="0">
            <x v="2"/>
          </reference>
          <reference field="14" count="1" selected="0">
            <x v="0"/>
          </reference>
        </references>
      </pivotArea>
    </chartFormat>
    <chartFormat chart="0" format="7">
      <pivotArea type="data" outline="0" fieldPosition="0">
        <references count="3">
          <reference field="4294967294" count="1" selected="0">
            <x v="0"/>
          </reference>
          <reference field="8" count="1" selected="0">
            <x v="3"/>
          </reference>
          <reference field="14" count="1" selected="0">
            <x v="0"/>
          </reference>
        </references>
      </pivotArea>
    </chartFormat>
    <chartFormat chart="0" format="8">
      <pivotArea type="data" outline="0" fieldPosition="0">
        <references count="3">
          <reference field="4294967294" count="1" selected="0">
            <x v="0"/>
          </reference>
          <reference field="8" count="1" selected="0">
            <x v="4"/>
          </reference>
          <reference field="14" count="1" selected="0">
            <x v="0"/>
          </reference>
        </references>
      </pivotArea>
    </chartFormat>
    <chartFormat chart="0" format="9">
      <pivotArea type="data" outline="0" fieldPosition="0">
        <references count="3">
          <reference field="4294967294" count="1" selected="0">
            <x v="0"/>
          </reference>
          <reference field="8" count="1" selected="0">
            <x v="0"/>
          </reference>
          <reference field="14" count="1" selected="0">
            <x v="1"/>
          </reference>
        </references>
      </pivotArea>
    </chartFormat>
    <chartFormat chart="0" format="10">
      <pivotArea type="data" outline="0" fieldPosition="0">
        <references count="3">
          <reference field="4294967294" count="1" selected="0">
            <x v="0"/>
          </reference>
          <reference field="8" count="1" selected="0">
            <x v="1"/>
          </reference>
          <reference field="14" count="1" selected="0">
            <x v="1"/>
          </reference>
        </references>
      </pivotArea>
    </chartFormat>
    <chartFormat chart="0" format="11">
      <pivotArea type="data" outline="0" fieldPosition="0">
        <references count="3">
          <reference field="4294967294" count="1" selected="0">
            <x v="0"/>
          </reference>
          <reference field="8" count="1" selected="0">
            <x v="2"/>
          </reference>
          <reference field="14" count="1" selected="0">
            <x v="1"/>
          </reference>
        </references>
      </pivotArea>
    </chartFormat>
    <chartFormat chart="0" format="12">
      <pivotArea type="data" outline="0" fieldPosition="0">
        <references count="3">
          <reference field="4294967294" count="1" selected="0">
            <x v="0"/>
          </reference>
          <reference field="8" count="1" selected="0">
            <x v="3"/>
          </reference>
          <reference field="14" count="1" selected="0">
            <x v="1"/>
          </reference>
        </references>
      </pivotArea>
    </chartFormat>
    <chartFormat chart="0" format="13">
      <pivotArea type="data" outline="0" fieldPosition="0">
        <references count="3">
          <reference field="4294967294" count="1" selected="0">
            <x v="0"/>
          </reference>
          <reference field="8" count="1" selected="0">
            <x v="4"/>
          </reference>
          <reference field="14" count="1" selected="0">
            <x v="1"/>
          </reference>
        </references>
      </pivotArea>
    </chartFormat>
    <chartFormat chart="0" format="14">
      <pivotArea type="data" outline="0" fieldPosition="0">
        <references count="3">
          <reference field="4294967294" count="1" selected="0">
            <x v="0"/>
          </reference>
          <reference field="8" count="1" selected="0">
            <x v="0"/>
          </reference>
          <reference field="14" count="1" selected="0">
            <x v="2"/>
          </reference>
        </references>
      </pivotArea>
    </chartFormat>
    <chartFormat chart="0" format="15">
      <pivotArea type="data" outline="0" fieldPosition="0">
        <references count="3">
          <reference field="4294967294" count="1" selected="0">
            <x v="0"/>
          </reference>
          <reference field="8" count="1" selected="0">
            <x v="1"/>
          </reference>
          <reference field="14" count="1" selected="0">
            <x v="2"/>
          </reference>
        </references>
      </pivotArea>
    </chartFormat>
    <chartFormat chart="0" format="16">
      <pivotArea type="data" outline="0" fieldPosition="0">
        <references count="3">
          <reference field="4294967294" count="1" selected="0">
            <x v="0"/>
          </reference>
          <reference field="8" count="1" selected="0">
            <x v="2"/>
          </reference>
          <reference field="14" count="1" selected="0">
            <x v="2"/>
          </reference>
        </references>
      </pivotArea>
    </chartFormat>
    <chartFormat chart="0" format="17">
      <pivotArea type="data" outline="0" fieldPosition="0">
        <references count="3">
          <reference field="4294967294" count="1" selected="0">
            <x v="0"/>
          </reference>
          <reference field="8" count="1" selected="0">
            <x v="3"/>
          </reference>
          <reference field="14" count="1" selected="0">
            <x v="2"/>
          </reference>
        </references>
      </pivotArea>
    </chartFormat>
    <chartFormat chart="0" format="18">
      <pivotArea type="data" outline="0" fieldPosition="0">
        <references count="3">
          <reference field="4294967294" count="1" selected="0">
            <x v="0"/>
          </reference>
          <reference field="8" count="1" selected="0">
            <x v="4"/>
          </reference>
          <reference field="14" count="1" selected="0">
            <x v="2"/>
          </reference>
        </references>
      </pivotArea>
    </chartFormat>
    <chartFormat chart="0" format="19">
      <pivotArea type="data" outline="0" fieldPosition="0">
        <references count="3">
          <reference field="4294967294" count="1" selected="0">
            <x v="0"/>
          </reference>
          <reference field="8" count="1" selected="0">
            <x v="0"/>
          </reference>
          <reference field="14" count="1" selected="0">
            <x v="3"/>
          </reference>
        </references>
      </pivotArea>
    </chartFormat>
    <chartFormat chart="0" format="20">
      <pivotArea type="data" outline="0" fieldPosition="0">
        <references count="3">
          <reference field="4294967294" count="1" selected="0">
            <x v="0"/>
          </reference>
          <reference field="8" count="1" selected="0">
            <x v="1"/>
          </reference>
          <reference field="14" count="1" selected="0">
            <x v="3"/>
          </reference>
        </references>
      </pivotArea>
    </chartFormat>
    <chartFormat chart="0" format="21">
      <pivotArea type="data" outline="0" fieldPosition="0">
        <references count="3">
          <reference field="4294967294" count="1" selected="0">
            <x v="0"/>
          </reference>
          <reference field="8" count="1" selected="0">
            <x v="2"/>
          </reference>
          <reference field="14" count="1" selected="0">
            <x v="3"/>
          </reference>
        </references>
      </pivotArea>
    </chartFormat>
    <chartFormat chart="0" format="22">
      <pivotArea type="data" outline="0" fieldPosition="0">
        <references count="3">
          <reference field="4294967294" count="1" selected="0">
            <x v="0"/>
          </reference>
          <reference field="8" count="1" selected="0">
            <x v="3"/>
          </reference>
          <reference field="14" count="1" selected="0">
            <x v="3"/>
          </reference>
        </references>
      </pivotArea>
    </chartFormat>
    <chartFormat chart="0" format="23">
      <pivotArea type="data" outline="0" fieldPosition="0">
        <references count="3">
          <reference field="4294967294" count="1" selected="0">
            <x v="0"/>
          </reference>
          <reference field="8" count="1" selected="0">
            <x v="4"/>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B7F1D5-F4A1-448E-B7B8-1AD19236D134}"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G5"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2"/>
    <dataField name="Average of Rating C" fld="9" subtotal="average" baseField="0" baseItem="2"/>
    <dataField name="Average of Days to Deliver" fld="12"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021C92-5750-40A7-9811-12A019D7E470}"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C16:E30"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2" numFmtId="164"/>
  </dataFields>
  <chartFormats count="2">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FC5605E8-ED5F-4BDD-B8DE-4EC3E2647841}" sourceName="Order Mode">
  <pivotTables>
    <pivotTable tabId="5" name="Pivotratinjg"/>
    <pivotTable tabId="5" name="pvttrend"/>
    <pivotTable tabId="5" name="PivotTable13"/>
    <pivotTable tabId="5" name="pvtsummary"/>
    <pivotTable tabId="5" name="pvtproduct"/>
    <pivotTable tabId="5" name="PivotTable7"/>
  </pivotTables>
  <data>
    <tabular pivotCacheId="64006129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0709415-B399-4E7E-9C70-5C5A623CE4CF}" sourceName="Gender Value">
  <pivotTables>
    <pivotTable tabId="5" name="Pivotratinjg"/>
    <pivotTable tabId="5" name="PivotTable13"/>
    <pivotTable tabId="5" name="PivotTable7"/>
    <pivotTable tabId="5" name="pvtproduct"/>
    <pivotTable tabId="5" name="pvtsummary"/>
    <pivotTable tabId="5" name="pvttrend"/>
  </pivotTables>
  <data>
    <tabular pivotCacheId="64006129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87330FAF-DAD8-40C4-94B5-B4D9EEED196E}" cache="Slicer_Order_Mode" caption="Order Mode" rowHeight="247650"/>
  <slicer name="Gender Value 1" xr10:uid="{E8460D7F-B32A-4914-8BD1-2444B231C84C}" cache="Slicer_Gender_Value" caption="Gender Valu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9A97172E-33C2-41E6-9858-076D10588FB6}" cache="Slicer_Order_Mode" caption="Order Mode" rowHeight="247650"/>
  <slicer name="Gender Value" xr10:uid="{E1739222-5179-447F-A0AA-6322A5421F83}"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Dividend">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vmlDrawing" Target="../drawings/vmlDrawing1.v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A2" sqref="A2:O2401"/>
    </sheetView>
  </sheetViews>
  <sheetFormatPr defaultRowHeight="18" x14ac:dyDescent="0.5"/>
  <cols>
    <col min="2" max="2" width="19.109375" customWidth="1"/>
    <col min="3" max="3" width="8.109375" customWidth="1"/>
    <col min="4" max="4" width="9.109375" customWidth="1"/>
    <col min="5" max="5" width="7.44140625" customWidth="1"/>
    <col min="6" max="6" width="10" customWidth="1"/>
    <col min="7" max="7" width="9.44140625" customWidth="1"/>
    <col min="8" max="8" width="15.6640625" customWidth="1"/>
    <col min="9" max="9" width="10.6640625" customWidth="1"/>
    <col min="10" max="10" width="7.77734375" customWidth="1"/>
    <col min="11" max="11" width="8.77734375" customWidth="1"/>
    <col min="12" max="12" width="19.6640625" customWidth="1"/>
    <col min="13" max="13" width="13.33203125" customWidth="1"/>
    <col min="14" max="14" width="9.33203125" customWidth="1"/>
    <col min="15" max="15" width="12.109375" customWidth="1"/>
  </cols>
  <sheetData>
    <row r="1" spans="1:15" x14ac:dyDescent="0.5">
      <c r="A1" t="s">
        <v>0</v>
      </c>
      <c r="B1" t="s">
        <v>1</v>
      </c>
      <c r="C1" t="s">
        <v>2</v>
      </c>
      <c r="D1" t="s">
        <v>3</v>
      </c>
      <c r="E1" t="s">
        <v>4</v>
      </c>
      <c r="F1" t="s">
        <v>5</v>
      </c>
      <c r="G1" t="s">
        <v>6</v>
      </c>
      <c r="H1" t="s">
        <v>7</v>
      </c>
      <c r="I1" t="s">
        <v>8</v>
      </c>
      <c r="J1" t="s">
        <v>9</v>
      </c>
      <c r="K1" t="s">
        <v>10</v>
      </c>
      <c r="L1" t="s">
        <v>11</v>
      </c>
      <c r="M1" s="2" t="s">
        <v>12</v>
      </c>
      <c r="N1" s="2" t="s">
        <v>13</v>
      </c>
      <c r="O1" s="2" t="s">
        <v>14</v>
      </c>
    </row>
    <row r="2" spans="1:15" x14ac:dyDescent="0.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8" x14ac:dyDescent="0.5"/>
  <cols>
    <col min="1" max="1" width="3.6640625" customWidth="1"/>
    <col min="2" max="2" width="52.77734375" customWidth="1"/>
  </cols>
  <sheetData>
    <row r="2" spans="2:2" x14ac:dyDescent="0.5">
      <c r="B2" s="3" t="s">
        <v>2503</v>
      </c>
    </row>
    <row r="3" spans="2:2" x14ac:dyDescent="0.5">
      <c r="B3" s="4" t="s">
        <v>2504</v>
      </c>
    </row>
    <row r="4" spans="2:2" x14ac:dyDescent="0.5">
      <c r="B4" s="4" t="s">
        <v>2505</v>
      </c>
    </row>
    <row r="5" spans="2:2" x14ac:dyDescent="0.5">
      <c r="B5" s="4" t="s">
        <v>2506</v>
      </c>
    </row>
    <row r="6" spans="2:2" x14ac:dyDescent="0.5">
      <c r="B6" s="4" t="s">
        <v>2507</v>
      </c>
    </row>
    <row r="7" spans="2:2" x14ac:dyDescent="0.5">
      <c r="B7" s="4" t="s">
        <v>2508</v>
      </c>
    </row>
    <row r="10" spans="2:2" x14ac:dyDescent="0.5">
      <c r="B10" s="3" t="s">
        <v>2509</v>
      </c>
    </row>
    <row r="11" spans="2:2" x14ac:dyDescent="0.5">
      <c r="B11" t="s">
        <v>2510</v>
      </c>
    </row>
    <row r="12" spans="2:2" x14ac:dyDescent="0.5">
      <c r="B12" t="s">
        <v>2511</v>
      </c>
    </row>
    <row r="13" spans="2:2" x14ac:dyDescent="0.5">
      <c r="B13" t="s">
        <v>2512</v>
      </c>
    </row>
    <row r="14" spans="2:2" x14ac:dyDescent="0.5">
      <c r="B14" t="s">
        <v>2513</v>
      </c>
    </row>
    <row r="15" spans="2:2" x14ac:dyDescent="0.5">
      <c r="B15" t="s">
        <v>2514</v>
      </c>
    </row>
    <row r="16" spans="2:2" x14ac:dyDescent="0.5">
      <c r="B16" t="s">
        <v>2515</v>
      </c>
    </row>
    <row r="17" spans="2:2" x14ac:dyDescent="0.5">
      <c r="B17" t="s">
        <v>2516</v>
      </c>
    </row>
    <row r="18" spans="2:2" x14ac:dyDescent="0.5">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EF321-99B9-4FC0-B456-D3F9DFC9166F}">
  <dimension ref="A1"/>
  <sheetViews>
    <sheetView tabSelected="1" zoomScale="46" zoomScaleNormal="70" workbookViewId="0">
      <selection activeCell="AP17" sqref="AP17"/>
    </sheetView>
  </sheetViews>
  <sheetFormatPr defaultRowHeight="18" x14ac:dyDescent="0.5"/>
  <cols>
    <col min="6" max="7"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FC924-0559-4E50-973C-D5D5519FBB0A}">
  <dimension ref="C3:AM99"/>
  <sheetViews>
    <sheetView zoomScale="80" workbookViewId="0">
      <selection activeCell="M18" sqref="M18"/>
    </sheetView>
  </sheetViews>
  <sheetFormatPr defaultRowHeight="18" x14ac:dyDescent="0.5"/>
  <cols>
    <col min="3" max="3" width="14.6640625" bestFit="1" customWidth="1"/>
    <col min="4" max="4" width="17.33203125" bestFit="1" customWidth="1"/>
    <col min="5" max="5" width="16.77734375" bestFit="1" customWidth="1"/>
    <col min="6" max="6" width="20.77734375" bestFit="1" customWidth="1"/>
    <col min="7" max="7" width="27.6640625" bestFit="1" customWidth="1"/>
    <col min="8" max="8" width="16.33203125" bestFit="1" customWidth="1"/>
    <col min="9" max="9" width="15.44140625" bestFit="1" customWidth="1"/>
    <col min="10" max="10" width="6.88671875" bestFit="1" customWidth="1"/>
    <col min="11" max="11" width="10.21875" bestFit="1" customWidth="1"/>
    <col min="12" max="12" width="12.88671875" bestFit="1" customWidth="1"/>
    <col min="13" max="13" width="19.77734375" bestFit="1" customWidth="1"/>
    <col min="14" max="14" width="15.44140625" bestFit="1" customWidth="1"/>
    <col min="15" max="15" width="6.77734375" bestFit="1" customWidth="1"/>
    <col min="16" max="16" width="5.77734375" bestFit="1" customWidth="1"/>
    <col min="17" max="17" width="6.109375" bestFit="1" customWidth="1"/>
    <col min="18" max="18" width="12.88671875" bestFit="1" customWidth="1"/>
    <col min="21" max="21" width="14.5546875" bestFit="1" customWidth="1"/>
    <col min="22" max="22" width="16.88671875" bestFit="1" customWidth="1"/>
    <col min="23" max="23" width="21.88671875" bestFit="1" customWidth="1"/>
    <col min="24" max="24" width="17.33203125" bestFit="1" customWidth="1"/>
    <col min="25" max="25" width="16.77734375" bestFit="1" customWidth="1"/>
    <col min="26" max="26" width="10.88671875" customWidth="1"/>
    <col min="27" max="27" width="18.77734375" bestFit="1" customWidth="1"/>
    <col min="28" max="28" width="21" bestFit="1" customWidth="1"/>
    <col min="29" max="29" width="14.5546875" bestFit="1" customWidth="1"/>
    <col min="30" max="30" width="19.6640625" customWidth="1"/>
    <col min="31" max="31" width="14.21875" customWidth="1"/>
    <col min="32" max="32" width="19.77734375" bestFit="1" customWidth="1"/>
    <col min="33" max="33" width="21" bestFit="1" customWidth="1"/>
    <col min="34" max="34" width="14" bestFit="1" customWidth="1"/>
    <col min="35" max="35" width="10.77734375" customWidth="1"/>
    <col min="36" max="36" width="19.6640625" bestFit="1" customWidth="1"/>
    <col min="37" max="37" width="14.21875" bestFit="1" customWidth="1"/>
    <col min="38" max="38" width="13.5546875" bestFit="1" customWidth="1"/>
  </cols>
  <sheetData>
    <row r="3" spans="3:18" x14ac:dyDescent="0.5">
      <c r="C3">
        <v>1</v>
      </c>
      <c r="I3" t="s">
        <v>2524</v>
      </c>
    </row>
    <row r="4" spans="3:18" x14ac:dyDescent="0.5">
      <c r="C4" t="s">
        <v>2519</v>
      </c>
      <c r="D4" t="s">
        <v>2520</v>
      </c>
      <c r="E4" t="s">
        <v>2521</v>
      </c>
      <c r="F4" t="s">
        <v>2522</v>
      </c>
      <c r="G4" t="s">
        <v>2523</v>
      </c>
      <c r="I4" t="s">
        <v>2518</v>
      </c>
      <c r="J4" t="s">
        <v>2525</v>
      </c>
      <c r="K4" t="s">
        <v>4</v>
      </c>
      <c r="L4" t="s">
        <v>2526</v>
      </c>
      <c r="M4" t="s">
        <v>12</v>
      </c>
    </row>
    <row r="5" spans="3:18" x14ac:dyDescent="0.5">
      <c r="C5">
        <v>2400</v>
      </c>
      <c r="D5">
        <v>11997</v>
      </c>
      <c r="E5">
        <v>649019.80000000144</v>
      </c>
      <c r="F5">
        <v>3.9620833333333332</v>
      </c>
      <c r="G5">
        <v>2.3424999999999998</v>
      </c>
      <c r="I5" t="str">
        <f>TEXT(C5,"#,##")</f>
        <v>2,400</v>
      </c>
      <c r="J5" t="str">
        <f t="shared" ref="J5" si="0">TEXT(D5,"#,##")</f>
        <v>11,997</v>
      </c>
      <c r="K5" t="str">
        <f>TEXT(E5,"$#,##,.0k")</f>
        <v>$649.0k</v>
      </c>
      <c r="L5" t="str">
        <f>TEXT(F5,"#,##,0.0")</f>
        <v>4.0</v>
      </c>
      <c r="M5" t="str">
        <f>TEXT(G5,"#,##,0.0")</f>
        <v>2.3</v>
      </c>
    </row>
    <row r="7" spans="3:18" x14ac:dyDescent="0.5">
      <c r="N7" s="8"/>
      <c r="O7" s="9"/>
      <c r="P7" s="9"/>
      <c r="Q7" s="9"/>
      <c r="R7" s="9"/>
    </row>
    <row r="8" spans="3:18" x14ac:dyDescent="0.5">
      <c r="N8" s="8"/>
      <c r="O8" s="9"/>
      <c r="P8" s="9"/>
      <c r="Q8" s="9"/>
      <c r="R8" s="9"/>
    </row>
    <row r="9" spans="3:18" x14ac:dyDescent="0.5">
      <c r="N9" s="8"/>
      <c r="O9" s="9"/>
      <c r="P9" s="9"/>
      <c r="Q9" s="9"/>
      <c r="R9" s="9"/>
    </row>
    <row r="10" spans="3:18" x14ac:dyDescent="0.5">
      <c r="N10" s="8"/>
      <c r="O10" s="9"/>
      <c r="P10" s="9"/>
      <c r="Q10" s="9"/>
      <c r="R10" s="9"/>
    </row>
    <row r="11" spans="3:18" x14ac:dyDescent="0.5">
      <c r="N11" s="8"/>
      <c r="O11" s="9"/>
      <c r="P11" s="9"/>
      <c r="Q11" s="9"/>
      <c r="R11" s="9"/>
    </row>
    <row r="15" spans="3:18" x14ac:dyDescent="0.5">
      <c r="O15" t="str">
        <f>H17</f>
        <v>Female</v>
      </c>
      <c r="P15" t="str">
        <f t="shared" ref="P15:R15" si="1">I17</f>
        <v>Male</v>
      </c>
      <c r="Q15" t="str">
        <f t="shared" si="1"/>
        <v>Other</v>
      </c>
      <c r="R15" t="str">
        <f t="shared" si="1"/>
        <v>Unknown</v>
      </c>
    </row>
    <row r="16" spans="3:18" x14ac:dyDescent="0.5">
      <c r="C16" s="5" t="s">
        <v>2527</v>
      </c>
      <c r="D16" t="s">
        <v>2520</v>
      </c>
      <c r="E16" t="s">
        <v>2521</v>
      </c>
      <c r="G16" s="5" t="s">
        <v>2521</v>
      </c>
      <c r="H16" s="5" t="s">
        <v>2533</v>
      </c>
      <c r="N16" t="str">
        <f>G18</f>
        <v>App</v>
      </c>
      <c r="O16" s="9">
        <f t="shared" ref="O16:R16" si="2">H18</f>
        <v>0.18961825201634841</v>
      </c>
      <c r="P16" s="9">
        <f t="shared" si="2"/>
        <v>0.12262322351336576</v>
      </c>
      <c r="Q16" s="9">
        <f t="shared" si="2"/>
        <v>1.060537752469185E-2</v>
      </c>
      <c r="R16" s="9">
        <f t="shared" si="2"/>
        <v>3.0599220547662797E-2</v>
      </c>
    </row>
    <row r="17" spans="3:22" x14ac:dyDescent="0.5">
      <c r="C17" s="6">
        <v>1</v>
      </c>
      <c r="D17">
        <v>546</v>
      </c>
      <c r="E17" s="7">
        <v>32413.300000000003</v>
      </c>
      <c r="G17" s="5" t="s">
        <v>2527</v>
      </c>
      <c r="H17" t="s">
        <v>2531</v>
      </c>
      <c r="I17" t="s">
        <v>2530</v>
      </c>
      <c r="J17" t="s">
        <v>2532</v>
      </c>
      <c r="K17" t="s">
        <v>2529</v>
      </c>
      <c r="L17" t="s">
        <v>2528</v>
      </c>
      <c r="N17" t="str">
        <f t="shared" ref="N17:N20" si="3">G19</f>
        <v>Instagram</v>
      </c>
      <c r="O17" s="9">
        <f t="shared" ref="O17:O20" si="4">H19</f>
        <v>5.0283982091147303E-2</v>
      </c>
      <c r="P17" s="9">
        <f t="shared" ref="P17:P20" si="5">I19</f>
        <v>4.3060781812819873E-2</v>
      </c>
      <c r="Q17" s="9">
        <f t="shared" ref="Q17:Q20" si="6">J19</f>
        <v>1.5320025675641944E-3</v>
      </c>
      <c r="R17" s="9">
        <f t="shared" ref="R17:R20" si="7">K19</f>
        <v>1.7794988689097006E-2</v>
      </c>
    </row>
    <row r="18" spans="3:22" x14ac:dyDescent="0.5">
      <c r="C18" s="6">
        <v>2</v>
      </c>
      <c r="D18">
        <v>905</v>
      </c>
      <c r="E18" s="7">
        <v>49562.999999999993</v>
      </c>
      <c r="G18" s="6" t="s">
        <v>18</v>
      </c>
      <c r="H18" s="8">
        <v>0.18961825201634841</v>
      </c>
      <c r="I18" s="8">
        <v>0.12262322351336576</v>
      </c>
      <c r="J18" s="8">
        <v>1.060537752469185E-2</v>
      </c>
      <c r="K18" s="8">
        <v>3.0599220547662797E-2</v>
      </c>
      <c r="L18" s="8">
        <v>0.35344607360206881</v>
      </c>
      <c r="N18" t="str">
        <f t="shared" si="3"/>
        <v>Partner App</v>
      </c>
      <c r="O18" s="9">
        <f t="shared" si="4"/>
        <v>6.3496059750411282E-2</v>
      </c>
      <c r="P18" s="9">
        <f t="shared" si="5"/>
        <v>4.6071629863988765E-2</v>
      </c>
      <c r="Q18" s="9">
        <f t="shared" si="6"/>
        <v>2.306247051322625E-3</v>
      </c>
      <c r="R18" s="9">
        <f t="shared" si="7"/>
        <v>3.8927934093844286E-3</v>
      </c>
    </row>
    <row r="19" spans="3:22" x14ac:dyDescent="0.5">
      <c r="C19" s="6">
        <v>3</v>
      </c>
      <c r="D19">
        <v>796</v>
      </c>
      <c r="E19" s="7">
        <v>41700.400000000016</v>
      </c>
      <c r="G19" s="6" t="s">
        <v>51</v>
      </c>
      <c r="H19" s="8">
        <v>5.0283982091147303E-2</v>
      </c>
      <c r="I19" s="8">
        <v>4.3060781812819873E-2</v>
      </c>
      <c r="J19" s="8">
        <v>1.5320025675641944E-3</v>
      </c>
      <c r="K19" s="8">
        <v>1.7794988689097006E-2</v>
      </c>
      <c r="L19" s="8">
        <v>0.11267175516062837</v>
      </c>
      <c r="N19" t="str">
        <f t="shared" si="3"/>
        <v>Target.com</v>
      </c>
      <c r="O19" s="9">
        <f t="shared" si="4"/>
        <v>9.6337892927149532E-2</v>
      </c>
      <c r="P19" s="9">
        <f t="shared" si="5"/>
        <v>6.7920115842382611E-2</v>
      </c>
      <c r="Q19" s="9">
        <f t="shared" si="6"/>
        <v>5.4979832664581261E-3</v>
      </c>
      <c r="R19" s="9">
        <f t="shared" si="7"/>
        <v>1.2933041488102518E-2</v>
      </c>
    </row>
    <row r="20" spans="3:22" x14ac:dyDescent="0.5">
      <c r="C20" s="6">
        <v>4</v>
      </c>
      <c r="D20">
        <v>913</v>
      </c>
      <c r="E20" s="7">
        <v>46782.599999999984</v>
      </c>
      <c r="G20" s="6" t="s">
        <v>70</v>
      </c>
      <c r="H20" s="8">
        <v>6.3496059750411282E-2</v>
      </c>
      <c r="I20" s="8">
        <v>4.6071629863988765E-2</v>
      </c>
      <c r="J20" s="8">
        <v>2.306247051322625E-3</v>
      </c>
      <c r="K20" s="8">
        <v>3.8927934093844286E-3</v>
      </c>
      <c r="L20" s="8">
        <v>0.11576673007510711</v>
      </c>
      <c r="N20" t="str">
        <f t="shared" si="3"/>
        <v>Website</v>
      </c>
      <c r="O20" s="9">
        <f t="shared" si="4"/>
        <v>0.12522098709469262</v>
      </c>
      <c r="P20" s="9">
        <f t="shared" si="5"/>
        <v>9.1492740283116228E-2</v>
      </c>
      <c r="Q20" s="9">
        <f t="shared" si="6"/>
        <v>6.3042760790965081E-3</v>
      </c>
      <c r="R20" s="9">
        <f t="shared" si="7"/>
        <v>1.2408404181197551E-2</v>
      </c>
    </row>
    <row r="21" spans="3:22" x14ac:dyDescent="0.5">
      <c r="C21" s="6">
        <v>5</v>
      </c>
      <c r="D21">
        <v>844</v>
      </c>
      <c r="E21" s="7">
        <v>42676.100000000006</v>
      </c>
      <c r="G21" s="6" t="s">
        <v>40</v>
      </c>
      <c r="H21" s="8">
        <v>9.6337892927149532E-2</v>
      </c>
      <c r="I21" s="8">
        <v>6.7920115842382611E-2</v>
      </c>
      <c r="J21" s="8">
        <v>5.4979832664581261E-3</v>
      </c>
      <c r="K21" s="8">
        <v>1.2933041488102518E-2</v>
      </c>
      <c r="L21" s="8">
        <v>0.1826890335240928</v>
      </c>
    </row>
    <row r="22" spans="3:22" x14ac:dyDescent="0.5">
      <c r="C22" s="6">
        <v>6</v>
      </c>
      <c r="D22">
        <v>1202</v>
      </c>
      <c r="E22" s="7">
        <v>62910.7</v>
      </c>
      <c r="G22" s="6" t="s">
        <v>35</v>
      </c>
      <c r="H22" s="8">
        <v>0.12522098709469262</v>
      </c>
      <c r="I22" s="8">
        <v>9.1492740283116228E-2</v>
      </c>
      <c r="J22" s="8">
        <v>6.3042760790965081E-3</v>
      </c>
      <c r="K22" s="8">
        <v>1.2408404181197551E-2</v>
      </c>
      <c r="L22" s="8">
        <v>0.23542640763810288</v>
      </c>
      <c r="N22" s="8"/>
      <c r="O22" s="8"/>
      <c r="P22" s="8"/>
      <c r="Q22" s="8"/>
      <c r="R22" s="8"/>
      <c r="S22" s="8"/>
    </row>
    <row r="23" spans="3:22" x14ac:dyDescent="0.5">
      <c r="C23" s="6">
        <v>7</v>
      </c>
      <c r="D23">
        <v>935</v>
      </c>
      <c r="E23" s="7">
        <v>50332.200000000004</v>
      </c>
      <c r="G23" s="6" t="s">
        <v>2528</v>
      </c>
      <c r="H23" s="8">
        <v>0.52495717387974916</v>
      </c>
      <c r="I23" s="8">
        <v>0.3711684913156732</v>
      </c>
      <c r="J23" s="8">
        <v>2.6245886489133303E-2</v>
      </c>
      <c r="K23" s="8">
        <v>7.7628448315444312E-2</v>
      </c>
      <c r="L23" s="8">
        <v>1</v>
      </c>
    </row>
    <row r="24" spans="3:22" x14ac:dyDescent="0.5">
      <c r="C24" s="6">
        <v>8</v>
      </c>
      <c r="D24">
        <v>1128</v>
      </c>
      <c r="E24" s="7">
        <v>58760.599999999977</v>
      </c>
    </row>
    <row r="25" spans="3:22" x14ac:dyDescent="0.5">
      <c r="C25" s="6">
        <v>9</v>
      </c>
      <c r="D25">
        <v>1007</v>
      </c>
      <c r="E25" s="7">
        <v>52017.299999999996</v>
      </c>
    </row>
    <row r="26" spans="3:22" x14ac:dyDescent="0.5">
      <c r="C26" s="6">
        <v>10</v>
      </c>
      <c r="D26">
        <v>1128</v>
      </c>
      <c r="E26" s="7">
        <v>64915.700000000033</v>
      </c>
    </row>
    <row r="27" spans="3:22" x14ac:dyDescent="0.5">
      <c r="C27" s="6">
        <v>11</v>
      </c>
      <c r="D27">
        <v>861</v>
      </c>
      <c r="E27" s="7">
        <v>45943.80000000001</v>
      </c>
    </row>
    <row r="28" spans="3:22" x14ac:dyDescent="0.5">
      <c r="C28" s="6">
        <v>12</v>
      </c>
      <c r="D28">
        <v>944</v>
      </c>
      <c r="E28" s="7">
        <v>55077.900000000031</v>
      </c>
    </row>
    <row r="29" spans="3:22" x14ac:dyDescent="0.5">
      <c r="C29" s="6">
        <v>13</v>
      </c>
      <c r="D29">
        <v>788</v>
      </c>
      <c r="E29" s="7">
        <v>45926.19999999999</v>
      </c>
    </row>
    <row r="30" spans="3:22" x14ac:dyDescent="0.5">
      <c r="C30" s="6" t="s">
        <v>2528</v>
      </c>
      <c r="D30">
        <v>11997</v>
      </c>
      <c r="E30" s="7">
        <v>649019.79999999993</v>
      </c>
    </row>
    <row r="31" spans="3:22" x14ac:dyDescent="0.5">
      <c r="M31" s="5" t="s">
        <v>2520</v>
      </c>
      <c r="N31" s="5" t="s">
        <v>2533</v>
      </c>
      <c r="U31" s="5" t="s">
        <v>2527</v>
      </c>
      <c r="V31" t="s">
        <v>2520</v>
      </c>
    </row>
    <row r="32" spans="3:22" x14ac:dyDescent="0.5">
      <c r="G32" s="5" t="s">
        <v>2527</v>
      </c>
      <c r="H32" t="s">
        <v>2519</v>
      </c>
      <c r="M32" s="5" t="s">
        <v>2527</v>
      </c>
      <c r="O32" t="s">
        <v>27</v>
      </c>
      <c r="P32" t="s">
        <v>23</v>
      </c>
      <c r="Q32" t="s">
        <v>89</v>
      </c>
      <c r="R32" t="s">
        <v>2528</v>
      </c>
      <c r="U32" s="6"/>
      <c r="V32">
        <v>736</v>
      </c>
    </row>
    <row r="33" spans="7:39" x14ac:dyDescent="0.5">
      <c r="G33" s="6">
        <v>1</v>
      </c>
      <c r="H33">
        <v>397</v>
      </c>
      <c r="M33" s="6" t="s">
        <v>44</v>
      </c>
      <c r="N33">
        <v>98</v>
      </c>
      <c r="O33">
        <v>744</v>
      </c>
      <c r="P33">
        <v>713</v>
      </c>
      <c r="Q33">
        <v>90</v>
      </c>
      <c r="R33">
        <v>1645</v>
      </c>
      <c r="U33" s="6" t="s">
        <v>27</v>
      </c>
      <c r="V33">
        <v>6272</v>
      </c>
    </row>
    <row r="34" spans="7:39" x14ac:dyDescent="0.5">
      <c r="G34" s="6">
        <v>2</v>
      </c>
      <c r="H34">
        <v>540</v>
      </c>
      <c r="M34" s="6" t="s">
        <v>39</v>
      </c>
      <c r="N34">
        <v>214</v>
      </c>
      <c r="O34">
        <v>716</v>
      </c>
      <c r="P34">
        <v>598</v>
      </c>
      <c r="Q34">
        <v>18</v>
      </c>
      <c r="R34">
        <v>1546</v>
      </c>
      <c r="U34" s="6" t="s">
        <v>23</v>
      </c>
      <c r="V34">
        <v>4672</v>
      </c>
    </row>
    <row r="35" spans="7:39" x14ac:dyDescent="0.5">
      <c r="G35" s="6">
        <v>3</v>
      </c>
      <c r="H35">
        <v>375</v>
      </c>
      <c r="M35" s="6" t="s">
        <v>26</v>
      </c>
      <c r="N35">
        <v>137</v>
      </c>
      <c r="O35">
        <v>627</v>
      </c>
      <c r="P35">
        <v>393</v>
      </c>
      <c r="Q35">
        <v>29</v>
      </c>
      <c r="R35">
        <v>1186</v>
      </c>
      <c r="U35" s="6" t="s">
        <v>89</v>
      </c>
      <c r="V35">
        <v>317</v>
      </c>
    </row>
    <row r="36" spans="7:39" x14ac:dyDescent="0.5">
      <c r="G36" s="6">
        <v>4</v>
      </c>
      <c r="H36">
        <v>246</v>
      </c>
      <c r="M36" s="6" t="s">
        <v>22</v>
      </c>
      <c r="N36">
        <v>16</v>
      </c>
      <c r="O36">
        <v>568</v>
      </c>
      <c r="P36">
        <v>306</v>
      </c>
      <c r="Q36">
        <v>22</v>
      </c>
      <c r="R36">
        <v>912</v>
      </c>
      <c r="U36" s="6" t="s">
        <v>2528</v>
      </c>
      <c r="V36">
        <v>11997</v>
      </c>
    </row>
    <row r="37" spans="7:39" x14ac:dyDescent="0.5">
      <c r="G37" s="6">
        <v>5</v>
      </c>
      <c r="H37">
        <v>195</v>
      </c>
      <c r="M37" s="6" t="s">
        <v>54</v>
      </c>
      <c r="N37">
        <v>22</v>
      </c>
      <c r="O37">
        <v>482</v>
      </c>
      <c r="P37">
        <v>295</v>
      </c>
      <c r="Q37">
        <v>8</v>
      </c>
      <c r="R37">
        <v>807</v>
      </c>
    </row>
    <row r="38" spans="7:39" x14ac:dyDescent="0.5">
      <c r="G38" s="6" t="s">
        <v>2534</v>
      </c>
      <c r="H38">
        <v>414</v>
      </c>
      <c r="M38" s="6" t="s">
        <v>16</v>
      </c>
      <c r="N38">
        <v>24</v>
      </c>
      <c r="O38">
        <v>428</v>
      </c>
      <c r="P38">
        <v>293</v>
      </c>
      <c r="R38">
        <v>745</v>
      </c>
    </row>
    <row r="39" spans="7:39" x14ac:dyDescent="0.5">
      <c r="G39" s="6" t="s">
        <v>2535</v>
      </c>
      <c r="H39">
        <v>233</v>
      </c>
      <c r="M39" s="6" t="s">
        <v>46</v>
      </c>
      <c r="N39">
        <v>39</v>
      </c>
      <c r="O39">
        <v>445</v>
      </c>
      <c r="P39">
        <v>202</v>
      </c>
      <c r="Q39">
        <v>14</v>
      </c>
      <c r="R39">
        <v>700</v>
      </c>
    </row>
    <row r="40" spans="7:39" x14ac:dyDescent="0.5">
      <c r="G40" s="6" t="s">
        <v>2528</v>
      </c>
      <c r="H40">
        <v>2400</v>
      </c>
      <c r="M40" s="6" t="s">
        <v>32</v>
      </c>
      <c r="N40">
        <v>15</v>
      </c>
      <c r="O40">
        <v>431</v>
      </c>
      <c r="P40">
        <v>187</v>
      </c>
      <c r="Q40">
        <v>14</v>
      </c>
      <c r="R40">
        <v>647</v>
      </c>
      <c r="AA40" t="s">
        <v>2536</v>
      </c>
      <c r="AF40" t="s">
        <v>2537</v>
      </c>
      <c r="AJ40" t="s">
        <v>10</v>
      </c>
      <c r="AK40" t="s">
        <v>11</v>
      </c>
      <c r="AL40" t="s">
        <v>2520</v>
      </c>
      <c r="AM40" t="s">
        <v>2521</v>
      </c>
    </row>
    <row r="41" spans="7:39" x14ac:dyDescent="0.5">
      <c r="M41" s="6" t="s">
        <v>42</v>
      </c>
      <c r="N41">
        <v>9</v>
      </c>
      <c r="O41">
        <v>264</v>
      </c>
      <c r="P41">
        <v>318</v>
      </c>
      <c r="Q41">
        <v>15</v>
      </c>
      <c r="R41">
        <v>606</v>
      </c>
      <c r="V41" s="5" t="s">
        <v>10</v>
      </c>
      <c r="W41" s="5" t="s">
        <v>11</v>
      </c>
      <c r="X41" t="s">
        <v>2520</v>
      </c>
      <c r="Y41" t="s">
        <v>2521</v>
      </c>
      <c r="AA41" t="s">
        <v>10</v>
      </c>
      <c r="AB41" t="s">
        <v>11</v>
      </c>
      <c r="AC41" t="s">
        <v>2520</v>
      </c>
      <c r="AF41" t="s">
        <v>10</v>
      </c>
      <c r="AG41" t="s">
        <v>11</v>
      </c>
      <c r="AH41" t="s">
        <v>2521</v>
      </c>
      <c r="AJ41" t="s">
        <v>19</v>
      </c>
      <c r="AK41" t="s">
        <v>115</v>
      </c>
      <c r="AL41">
        <v>579</v>
      </c>
      <c r="AM41">
        <v>31884.999999999996</v>
      </c>
    </row>
    <row r="42" spans="7:39" x14ac:dyDescent="0.5">
      <c r="M42" s="6" t="s">
        <v>37</v>
      </c>
      <c r="N42">
        <v>23</v>
      </c>
      <c r="O42">
        <v>296</v>
      </c>
      <c r="P42">
        <v>275</v>
      </c>
      <c r="Q42">
        <v>9</v>
      </c>
      <c r="R42">
        <v>603</v>
      </c>
      <c r="V42" t="s">
        <v>19</v>
      </c>
      <c r="W42" t="s">
        <v>115</v>
      </c>
      <c r="X42">
        <v>579</v>
      </c>
      <c r="Y42">
        <v>31884.999999999996</v>
      </c>
      <c r="AA42" t="str">
        <f>IF(V42="","",V42)</f>
        <v>California</v>
      </c>
      <c r="AB42" t="str">
        <f t="shared" ref="AB42:AC57" si="8">IF(W42="","",W42)</f>
        <v>Alameda County</v>
      </c>
      <c r="AC42">
        <f t="shared" si="8"/>
        <v>579</v>
      </c>
      <c r="AF42" t="str">
        <f>IF(V42="","",V42)</f>
        <v>California</v>
      </c>
      <c r="AG42" t="str">
        <f t="shared" ref="AG42:AG57" si="9">IF(W42="","",W42)</f>
        <v>Alameda County</v>
      </c>
      <c r="AH42">
        <f>IF(X42="","",Y42)</f>
        <v>31884.999999999996</v>
      </c>
      <c r="AJ42" t="s">
        <v>19</v>
      </c>
      <c r="AK42" t="s">
        <v>20</v>
      </c>
      <c r="AL42">
        <v>1</v>
      </c>
      <c r="AM42">
        <v>10.9</v>
      </c>
    </row>
    <row r="43" spans="7:39" x14ac:dyDescent="0.5">
      <c r="M43" s="6" t="s">
        <v>123</v>
      </c>
      <c r="N43">
        <v>8</v>
      </c>
      <c r="O43">
        <v>153</v>
      </c>
      <c r="P43">
        <v>246</v>
      </c>
      <c r="Q43">
        <v>30</v>
      </c>
      <c r="R43">
        <v>437</v>
      </c>
      <c r="V43" t="s">
        <v>19</v>
      </c>
      <c r="W43" t="s">
        <v>20</v>
      </c>
      <c r="X43">
        <v>1</v>
      </c>
      <c r="Y43">
        <v>10.9</v>
      </c>
      <c r="AA43" t="str">
        <f t="shared" ref="AA43:AA99" si="10">IF(V43="","",V43)</f>
        <v>California</v>
      </c>
      <c r="AB43" t="str">
        <f t="shared" si="8"/>
        <v>Alpine County</v>
      </c>
      <c r="AC43">
        <f t="shared" si="8"/>
        <v>1</v>
      </c>
      <c r="AF43" t="str">
        <f t="shared" ref="AF43:AG99" si="11">IF(V43="","",V43)</f>
        <v>California</v>
      </c>
      <c r="AG43" t="str">
        <f t="shared" si="9"/>
        <v>Alpine County</v>
      </c>
      <c r="AH43">
        <f t="shared" ref="AH43:AH99" si="12">IF(X43="","",Y43)</f>
        <v>10.9</v>
      </c>
      <c r="AJ43" t="s">
        <v>19</v>
      </c>
      <c r="AK43" t="s">
        <v>641</v>
      </c>
      <c r="AL43">
        <v>9</v>
      </c>
      <c r="AM43">
        <v>800.3</v>
      </c>
    </row>
    <row r="44" spans="7:39" x14ac:dyDescent="0.5">
      <c r="M44" s="6" t="s">
        <v>146</v>
      </c>
      <c r="N44">
        <v>31</v>
      </c>
      <c r="O44">
        <v>189</v>
      </c>
      <c r="P44">
        <v>168</v>
      </c>
      <c r="Q44">
        <v>10</v>
      </c>
      <c r="R44">
        <v>398</v>
      </c>
      <c r="V44" t="s">
        <v>19</v>
      </c>
      <c r="W44" t="s">
        <v>641</v>
      </c>
      <c r="X44">
        <v>9</v>
      </c>
      <c r="Y44">
        <v>800.3</v>
      </c>
      <c r="AA44" t="str">
        <f t="shared" si="10"/>
        <v>California</v>
      </c>
      <c r="AB44" t="str">
        <f t="shared" si="8"/>
        <v>Amador County</v>
      </c>
      <c r="AC44">
        <f t="shared" si="8"/>
        <v>9</v>
      </c>
      <c r="AF44" t="str">
        <f t="shared" si="11"/>
        <v>California</v>
      </c>
      <c r="AG44" t="str">
        <f t="shared" si="9"/>
        <v>Amador County</v>
      </c>
      <c r="AH44">
        <f t="shared" si="12"/>
        <v>800.3</v>
      </c>
      <c r="AJ44" t="s">
        <v>19</v>
      </c>
      <c r="AK44" t="s">
        <v>967</v>
      </c>
      <c r="AL44">
        <v>35</v>
      </c>
      <c r="AM44">
        <v>1062.5999999999999</v>
      </c>
    </row>
    <row r="45" spans="7:39" x14ac:dyDescent="0.5">
      <c r="M45" s="6" t="s">
        <v>69</v>
      </c>
      <c r="N45">
        <v>24</v>
      </c>
      <c r="O45">
        <v>234</v>
      </c>
      <c r="P45">
        <v>93</v>
      </c>
      <c r="Q45">
        <v>19</v>
      </c>
      <c r="R45">
        <v>370</v>
      </c>
      <c r="V45" t="s">
        <v>19</v>
      </c>
      <c r="W45" t="s">
        <v>967</v>
      </c>
      <c r="X45">
        <v>35</v>
      </c>
      <c r="Y45">
        <v>1062.5999999999999</v>
      </c>
      <c r="AA45" t="str">
        <f t="shared" si="10"/>
        <v>California</v>
      </c>
      <c r="AB45" t="str">
        <f t="shared" si="8"/>
        <v>Butte County</v>
      </c>
      <c r="AC45">
        <f t="shared" si="8"/>
        <v>35</v>
      </c>
      <c r="AF45" t="str">
        <f t="shared" si="11"/>
        <v>California</v>
      </c>
      <c r="AG45" t="str">
        <f t="shared" si="9"/>
        <v>Butte County</v>
      </c>
      <c r="AH45">
        <f t="shared" si="12"/>
        <v>1062.5999999999999</v>
      </c>
      <c r="AJ45" t="s">
        <v>19</v>
      </c>
      <c r="AK45" t="s">
        <v>84</v>
      </c>
      <c r="AL45">
        <v>12</v>
      </c>
      <c r="AM45">
        <v>326.20000000000005</v>
      </c>
    </row>
    <row r="46" spans="7:39" x14ac:dyDescent="0.5">
      <c r="M46" s="6" t="s">
        <v>30</v>
      </c>
      <c r="N46">
        <v>28</v>
      </c>
      <c r="O46">
        <v>146</v>
      </c>
      <c r="P46">
        <v>94</v>
      </c>
      <c r="Q46">
        <v>4</v>
      </c>
      <c r="R46">
        <v>272</v>
      </c>
      <c r="V46" t="s">
        <v>19</v>
      </c>
      <c r="W46" t="s">
        <v>84</v>
      </c>
      <c r="X46">
        <v>12</v>
      </c>
      <c r="Y46">
        <v>326.20000000000005</v>
      </c>
      <c r="AA46" t="str">
        <f t="shared" si="10"/>
        <v>California</v>
      </c>
      <c r="AB46" t="str">
        <f t="shared" si="8"/>
        <v>Calaveras County</v>
      </c>
      <c r="AC46">
        <f t="shared" si="8"/>
        <v>12</v>
      </c>
      <c r="AF46" t="str">
        <f t="shared" si="11"/>
        <v>California</v>
      </c>
      <c r="AG46" t="str">
        <f t="shared" si="9"/>
        <v>Calaveras County</v>
      </c>
      <c r="AH46">
        <f t="shared" si="12"/>
        <v>326.20000000000005</v>
      </c>
      <c r="AJ46" t="s">
        <v>19</v>
      </c>
      <c r="AK46" t="s">
        <v>1383</v>
      </c>
      <c r="AL46">
        <v>4</v>
      </c>
      <c r="AM46">
        <v>167.5</v>
      </c>
    </row>
    <row r="47" spans="7:39" x14ac:dyDescent="0.5">
      <c r="M47" s="6" t="s">
        <v>135</v>
      </c>
      <c r="N47">
        <v>12</v>
      </c>
      <c r="O47">
        <v>127</v>
      </c>
      <c r="P47">
        <v>118</v>
      </c>
      <c r="Q47">
        <v>13</v>
      </c>
      <c r="R47">
        <v>270</v>
      </c>
      <c r="V47" t="s">
        <v>19</v>
      </c>
      <c r="W47" t="s">
        <v>1383</v>
      </c>
      <c r="X47">
        <v>4</v>
      </c>
      <c r="Y47">
        <v>167.5</v>
      </c>
      <c r="AA47" t="str">
        <f t="shared" si="10"/>
        <v>California</v>
      </c>
      <c r="AB47" t="str">
        <f t="shared" si="8"/>
        <v>Colusa County</v>
      </c>
      <c r="AC47">
        <f t="shared" si="8"/>
        <v>4</v>
      </c>
      <c r="AF47" t="str">
        <f t="shared" si="11"/>
        <v>California</v>
      </c>
      <c r="AG47" t="str">
        <f t="shared" si="9"/>
        <v>Colusa County</v>
      </c>
      <c r="AH47">
        <f t="shared" si="12"/>
        <v>167.5</v>
      </c>
      <c r="AJ47" t="s">
        <v>19</v>
      </c>
      <c r="AK47" t="s">
        <v>24</v>
      </c>
      <c r="AL47">
        <v>341</v>
      </c>
      <c r="AM47">
        <v>16168.7</v>
      </c>
    </row>
    <row r="48" spans="7:39" x14ac:dyDescent="0.5">
      <c r="M48" s="6" t="s">
        <v>67</v>
      </c>
      <c r="O48">
        <v>179</v>
      </c>
      <c r="P48">
        <v>76</v>
      </c>
      <c r="Q48">
        <v>3</v>
      </c>
      <c r="R48">
        <v>258</v>
      </c>
      <c r="V48" t="s">
        <v>19</v>
      </c>
      <c r="W48" t="s">
        <v>24</v>
      </c>
      <c r="X48">
        <v>341</v>
      </c>
      <c r="Y48">
        <v>16168.7</v>
      </c>
      <c r="AA48" t="str">
        <f t="shared" si="10"/>
        <v>California</v>
      </c>
      <c r="AB48" t="str">
        <f t="shared" si="8"/>
        <v>Contra Costa County</v>
      </c>
      <c r="AC48">
        <f t="shared" si="8"/>
        <v>341</v>
      </c>
      <c r="AF48" t="str">
        <f t="shared" si="11"/>
        <v>California</v>
      </c>
      <c r="AG48" t="str">
        <f t="shared" si="9"/>
        <v>Contra Costa County</v>
      </c>
      <c r="AH48">
        <f t="shared" si="12"/>
        <v>16168.7</v>
      </c>
      <c r="AJ48" t="s">
        <v>19</v>
      </c>
      <c r="AK48" t="s">
        <v>2204</v>
      </c>
      <c r="AL48">
        <v>13</v>
      </c>
      <c r="AM48">
        <v>322.40000000000003</v>
      </c>
    </row>
    <row r="49" spans="3:39" x14ac:dyDescent="0.5">
      <c r="M49" s="6" t="s">
        <v>128</v>
      </c>
      <c r="N49">
        <v>24</v>
      </c>
      <c r="O49">
        <v>99</v>
      </c>
      <c r="P49">
        <v>69</v>
      </c>
      <c r="Q49">
        <v>3</v>
      </c>
      <c r="R49">
        <v>195</v>
      </c>
      <c r="V49" t="s">
        <v>19</v>
      </c>
      <c r="W49" t="s">
        <v>2204</v>
      </c>
      <c r="X49">
        <v>13</v>
      </c>
      <c r="Y49">
        <v>322.40000000000003</v>
      </c>
      <c r="AA49" t="str">
        <f t="shared" si="10"/>
        <v>California</v>
      </c>
      <c r="AB49" t="str">
        <f t="shared" si="8"/>
        <v>Del Norte County</v>
      </c>
      <c r="AC49">
        <f t="shared" si="8"/>
        <v>13</v>
      </c>
      <c r="AF49" t="str">
        <f t="shared" si="11"/>
        <v>California</v>
      </c>
      <c r="AG49" t="str">
        <f t="shared" si="9"/>
        <v>Del Norte County</v>
      </c>
      <c r="AH49">
        <f t="shared" si="12"/>
        <v>322.40000000000003</v>
      </c>
      <c r="AJ49" t="s">
        <v>19</v>
      </c>
      <c r="AK49" t="s">
        <v>437</v>
      </c>
      <c r="AL49">
        <v>31</v>
      </c>
      <c r="AM49">
        <v>2092.8000000000002</v>
      </c>
    </row>
    <row r="50" spans="3:39" x14ac:dyDescent="0.5">
      <c r="M50" s="6" t="s">
        <v>76</v>
      </c>
      <c r="N50">
        <v>6</v>
      </c>
      <c r="O50">
        <v>75</v>
      </c>
      <c r="P50">
        <v>103</v>
      </c>
      <c r="Q50">
        <v>4</v>
      </c>
      <c r="R50">
        <v>188</v>
      </c>
      <c r="V50" t="s">
        <v>19</v>
      </c>
      <c r="W50" t="s">
        <v>437</v>
      </c>
      <c r="X50">
        <v>31</v>
      </c>
      <c r="Y50">
        <v>2092.8000000000002</v>
      </c>
      <c r="AA50" t="str">
        <f t="shared" si="10"/>
        <v>California</v>
      </c>
      <c r="AB50" t="str">
        <f t="shared" si="8"/>
        <v>El Dorado County</v>
      </c>
      <c r="AC50">
        <f t="shared" si="8"/>
        <v>31</v>
      </c>
      <c r="AF50" t="str">
        <f t="shared" si="11"/>
        <v>California</v>
      </c>
      <c r="AG50" t="str">
        <f t="shared" si="9"/>
        <v>El Dorado County</v>
      </c>
      <c r="AH50">
        <f t="shared" si="12"/>
        <v>2092.8000000000002</v>
      </c>
      <c r="AJ50" t="s">
        <v>19</v>
      </c>
      <c r="AK50" t="s">
        <v>28</v>
      </c>
      <c r="AL50">
        <v>279</v>
      </c>
      <c r="AM50">
        <v>12662.500000000002</v>
      </c>
    </row>
    <row r="51" spans="3:39" x14ac:dyDescent="0.5">
      <c r="M51" s="6" t="s">
        <v>81</v>
      </c>
      <c r="N51">
        <v>6</v>
      </c>
      <c r="O51">
        <v>43</v>
      </c>
      <c r="P51">
        <v>90</v>
      </c>
      <c r="Q51">
        <v>8</v>
      </c>
      <c r="R51">
        <v>147</v>
      </c>
      <c r="V51" t="s">
        <v>19</v>
      </c>
      <c r="W51" t="s">
        <v>28</v>
      </c>
      <c r="X51">
        <v>279</v>
      </c>
      <c r="Y51">
        <v>12662.500000000002</v>
      </c>
      <c r="AA51" t="str">
        <f t="shared" si="10"/>
        <v>California</v>
      </c>
      <c r="AB51" t="str">
        <f t="shared" si="8"/>
        <v>Fresno County</v>
      </c>
      <c r="AC51">
        <f t="shared" si="8"/>
        <v>279</v>
      </c>
      <c r="AF51" t="str">
        <f t="shared" si="11"/>
        <v>California</v>
      </c>
      <c r="AG51" t="str">
        <f t="shared" si="9"/>
        <v>Fresno County</v>
      </c>
      <c r="AH51">
        <f t="shared" si="12"/>
        <v>12662.500000000002</v>
      </c>
      <c r="AJ51" t="s">
        <v>19</v>
      </c>
      <c r="AK51" t="s">
        <v>208</v>
      </c>
      <c r="AL51">
        <v>9</v>
      </c>
      <c r="AM51">
        <v>343.2</v>
      </c>
    </row>
    <row r="52" spans="3:39" x14ac:dyDescent="0.5">
      <c r="M52" s="6" t="s">
        <v>171</v>
      </c>
      <c r="O52">
        <v>26</v>
      </c>
      <c r="P52">
        <v>35</v>
      </c>
      <c r="Q52">
        <v>4</v>
      </c>
      <c r="R52">
        <v>65</v>
      </c>
      <c r="V52" t="s">
        <v>19</v>
      </c>
      <c r="W52" t="s">
        <v>208</v>
      </c>
      <c r="X52">
        <v>9</v>
      </c>
      <c r="Y52">
        <v>343.2</v>
      </c>
      <c r="AA52" t="str">
        <f t="shared" si="10"/>
        <v>California</v>
      </c>
      <c r="AB52" t="str">
        <f t="shared" si="8"/>
        <v>Glenn County</v>
      </c>
      <c r="AC52">
        <f t="shared" si="8"/>
        <v>9</v>
      </c>
      <c r="AF52" t="str">
        <f t="shared" si="11"/>
        <v>California</v>
      </c>
      <c r="AG52" t="str">
        <f t="shared" si="9"/>
        <v>Glenn County</v>
      </c>
      <c r="AH52">
        <f t="shared" si="12"/>
        <v>343.2</v>
      </c>
      <c r="AJ52" t="s">
        <v>19</v>
      </c>
      <c r="AK52" t="s">
        <v>587</v>
      </c>
      <c r="AL52">
        <v>49</v>
      </c>
      <c r="AM52">
        <v>2188.2999999999997</v>
      </c>
    </row>
    <row r="53" spans="3:39" x14ac:dyDescent="0.5">
      <c r="M53" s="6" t="s">
        <v>2528</v>
      </c>
      <c r="N53">
        <v>736</v>
      </c>
      <c r="O53">
        <v>6272</v>
      </c>
      <c r="P53">
        <v>4672</v>
      </c>
      <c r="Q53">
        <v>317</v>
      </c>
      <c r="R53">
        <v>11997</v>
      </c>
      <c r="V53" t="s">
        <v>19</v>
      </c>
      <c r="W53" t="s">
        <v>587</v>
      </c>
      <c r="X53">
        <v>49</v>
      </c>
      <c r="Y53">
        <v>2188.2999999999997</v>
      </c>
      <c r="AA53" t="str">
        <f t="shared" si="10"/>
        <v>California</v>
      </c>
      <c r="AB53" t="str">
        <f t="shared" si="8"/>
        <v>Humboldt County</v>
      </c>
      <c r="AC53">
        <f t="shared" si="8"/>
        <v>49</v>
      </c>
      <c r="AF53" t="str">
        <f t="shared" si="11"/>
        <v>California</v>
      </c>
      <c r="AG53" t="str">
        <f t="shared" si="9"/>
        <v>Humboldt County</v>
      </c>
      <c r="AH53">
        <f t="shared" si="12"/>
        <v>2188.2999999999997</v>
      </c>
      <c r="AJ53" t="s">
        <v>19</v>
      </c>
      <c r="AK53" t="s">
        <v>331</v>
      </c>
      <c r="AL53">
        <v>59</v>
      </c>
      <c r="AM53">
        <v>2661.5999999999995</v>
      </c>
    </row>
    <row r="54" spans="3:39" x14ac:dyDescent="0.5">
      <c r="V54" t="s">
        <v>19</v>
      </c>
      <c r="W54" t="s">
        <v>331</v>
      </c>
      <c r="X54">
        <v>59</v>
      </c>
      <c r="Y54">
        <v>2661.5999999999995</v>
      </c>
      <c r="AA54" t="str">
        <f t="shared" si="10"/>
        <v>California</v>
      </c>
      <c r="AB54" t="str">
        <f t="shared" si="8"/>
        <v>Imperial County</v>
      </c>
      <c r="AC54">
        <f t="shared" si="8"/>
        <v>59</v>
      </c>
      <c r="AF54" t="str">
        <f t="shared" si="11"/>
        <v>California</v>
      </c>
      <c r="AG54" t="str">
        <f t="shared" si="9"/>
        <v>Imperial County</v>
      </c>
      <c r="AH54">
        <f t="shared" si="12"/>
        <v>2661.5999999999995</v>
      </c>
      <c r="AJ54" t="s">
        <v>19</v>
      </c>
      <c r="AK54" t="s">
        <v>86</v>
      </c>
      <c r="AL54">
        <v>8</v>
      </c>
      <c r="AM54">
        <v>887.5</v>
      </c>
    </row>
    <row r="55" spans="3:39" x14ac:dyDescent="0.5">
      <c r="V55" t="s">
        <v>19</v>
      </c>
      <c r="W55" t="s">
        <v>86</v>
      </c>
      <c r="X55">
        <v>8</v>
      </c>
      <c r="Y55">
        <v>887.5</v>
      </c>
      <c r="AA55" t="str">
        <f t="shared" si="10"/>
        <v>California</v>
      </c>
      <c r="AB55" t="str">
        <f t="shared" si="8"/>
        <v>Inyo County</v>
      </c>
      <c r="AC55">
        <f t="shared" si="8"/>
        <v>8</v>
      </c>
      <c r="AF55" t="str">
        <f t="shared" si="11"/>
        <v>California</v>
      </c>
      <c r="AG55" t="str">
        <f t="shared" si="9"/>
        <v>Inyo County</v>
      </c>
      <c r="AH55">
        <f t="shared" si="12"/>
        <v>887.5</v>
      </c>
      <c r="AJ55" t="s">
        <v>19</v>
      </c>
      <c r="AK55" t="s">
        <v>147</v>
      </c>
      <c r="AL55">
        <v>222</v>
      </c>
      <c r="AM55">
        <v>11354.199999999993</v>
      </c>
    </row>
    <row r="56" spans="3:39" x14ac:dyDescent="0.5">
      <c r="C56" s="5" t="s">
        <v>2527</v>
      </c>
      <c r="D56" t="s">
        <v>2519</v>
      </c>
      <c r="V56" t="s">
        <v>19</v>
      </c>
      <c r="W56" t="s">
        <v>147</v>
      </c>
      <c r="X56">
        <v>222</v>
      </c>
      <c r="Y56">
        <v>11354.199999999993</v>
      </c>
      <c r="AA56" t="str">
        <f t="shared" si="10"/>
        <v>California</v>
      </c>
      <c r="AB56" t="str">
        <f t="shared" si="8"/>
        <v>Kern County</v>
      </c>
      <c r="AC56">
        <f t="shared" si="8"/>
        <v>222</v>
      </c>
      <c r="AF56" t="str">
        <f t="shared" si="11"/>
        <v>California</v>
      </c>
      <c r="AG56" t="str">
        <f t="shared" si="9"/>
        <v>Kern County</v>
      </c>
      <c r="AH56">
        <f t="shared" si="12"/>
        <v>11354.199999999993</v>
      </c>
      <c r="AJ56" t="s">
        <v>19</v>
      </c>
      <c r="AK56" t="s">
        <v>334</v>
      </c>
      <c r="AL56">
        <v>36</v>
      </c>
      <c r="AM56">
        <v>1558.4</v>
      </c>
    </row>
    <row r="57" spans="3:39" x14ac:dyDescent="0.5">
      <c r="C57" s="6">
        <v>0</v>
      </c>
      <c r="D57">
        <v>175</v>
      </c>
      <c r="V57" t="s">
        <v>19</v>
      </c>
      <c r="W57" t="s">
        <v>334</v>
      </c>
      <c r="X57">
        <v>36</v>
      </c>
      <c r="Y57">
        <v>1558.4</v>
      </c>
      <c r="AA57" t="str">
        <f t="shared" si="10"/>
        <v>California</v>
      </c>
      <c r="AB57" t="str">
        <f t="shared" si="8"/>
        <v>Kings County</v>
      </c>
      <c r="AC57">
        <f t="shared" si="8"/>
        <v>36</v>
      </c>
      <c r="AF57" t="str">
        <f t="shared" si="11"/>
        <v>California</v>
      </c>
      <c r="AG57" t="str">
        <f t="shared" si="9"/>
        <v>Kings County</v>
      </c>
      <c r="AH57">
        <f t="shared" si="12"/>
        <v>1558.4</v>
      </c>
      <c r="AJ57" t="s">
        <v>19</v>
      </c>
      <c r="AK57" t="s">
        <v>949</v>
      </c>
      <c r="AL57">
        <v>30</v>
      </c>
      <c r="AM57">
        <v>2223.9</v>
      </c>
    </row>
    <row r="58" spans="3:39" x14ac:dyDescent="0.5">
      <c r="C58" s="6">
        <v>1</v>
      </c>
      <c r="D58">
        <v>888</v>
      </c>
      <c r="V58" t="s">
        <v>19</v>
      </c>
      <c r="W58" t="s">
        <v>949</v>
      </c>
      <c r="X58">
        <v>30</v>
      </c>
      <c r="Y58">
        <v>2223.9</v>
      </c>
      <c r="AA58" t="str">
        <f t="shared" si="10"/>
        <v>California</v>
      </c>
      <c r="AB58" t="str">
        <f t="shared" ref="AB58:AB99" si="13">IF(W58="","",W58)</f>
        <v>Lake County</v>
      </c>
      <c r="AC58">
        <f t="shared" ref="AC58:AC99" si="14">IF(X58="","",X58)</f>
        <v>30</v>
      </c>
      <c r="AF58" t="str">
        <f t="shared" si="11"/>
        <v>California</v>
      </c>
      <c r="AG58" t="str">
        <f t="shared" si="11"/>
        <v>Lake County</v>
      </c>
      <c r="AH58">
        <f t="shared" si="12"/>
        <v>2223.9</v>
      </c>
      <c r="AJ58" t="s">
        <v>19</v>
      </c>
      <c r="AK58" t="s">
        <v>1426</v>
      </c>
      <c r="AL58">
        <v>1</v>
      </c>
      <c r="AM58">
        <v>26.2</v>
      </c>
    </row>
    <row r="59" spans="3:39" x14ac:dyDescent="0.5">
      <c r="C59" s="6">
        <v>2</v>
      </c>
      <c r="D59">
        <v>538</v>
      </c>
      <c r="V59" t="s">
        <v>19</v>
      </c>
      <c r="W59" t="s">
        <v>1426</v>
      </c>
      <c r="X59">
        <v>1</v>
      </c>
      <c r="Y59">
        <v>26.2</v>
      </c>
      <c r="AA59" t="str">
        <f t="shared" si="10"/>
        <v>California</v>
      </c>
      <c r="AB59" t="str">
        <f t="shared" si="13"/>
        <v>Lassen County</v>
      </c>
      <c r="AC59">
        <f t="shared" si="14"/>
        <v>1</v>
      </c>
      <c r="AF59" t="str">
        <f t="shared" si="11"/>
        <v>California</v>
      </c>
      <c r="AG59" t="str">
        <f t="shared" si="11"/>
        <v>Lassen County</v>
      </c>
      <c r="AH59">
        <f t="shared" si="12"/>
        <v>26.2</v>
      </c>
      <c r="AJ59" t="s">
        <v>19</v>
      </c>
      <c r="AK59" t="s">
        <v>33</v>
      </c>
      <c r="AL59">
        <v>3991</v>
      </c>
      <c r="AM59">
        <v>215551.19999999981</v>
      </c>
    </row>
    <row r="60" spans="3:39" x14ac:dyDescent="0.5">
      <c r="C60" s="6">
        <v>3</v>
      </c>
      <c r="D60">
        <v>344</v>
      </c>
      <c r="H60" s="5" t="s">
        <v>2519</v>
      </c>
      <c r="I60" s="5" t="s">
        <v>2533</v>
      </c>
      <c r="V60" t="s">
        <v>19</v>
      </c>
      <c r="W60" t="s">
        <v>33</v>
      </c>
      <c r="X60">
        <v>3991</v>
      </c>
      <c r="Y60">
        <v>215551.19999999981</v>
      </c>
      <c r="AA60" t="str">
        <f t="shared" si="10"/>
        <v>California</v>
      </c>
      <c r="AB60" t="str">
        <f t="shared" si="13"/>
        <v>Los Angeles County</v>
      </c>
      <c r="AC60">
        <f t="shared" si="14"/>
        <v>3991</v>
      </c>
      <c r="AF60" t="str">
        <f t="shared" si="11"/>
        <v>California</v>
      </c>
      <c r="AG60" t="str">
        <f t="shared" si="11"/>
        <v>Los Angeles County</v>
      </c>
      <c r="AH60">
        <f t="shared" si="12"/>
        <v>215551.19999999981</v>
      </c>
      <c r="AJ60" t="s">
        <v>19</v>
      </c>
      <c r="AK60" t="s">
        <v>364</v>
      </c>
      <c r="AL60">
        <v>45</v>
      </c>
      <c r="AM60">
        <v>2687.3999999999996</v>
      </c>
    </row>
    <row r="61" spans="3:39" x14ac:dyDescent="0.5">
      <c r="C61" s="6">
        <v>4</v>
      </c>
      <c r="D61">
        <v>200</v>
      </c>
      <c r="H61" s="5" t="s">
        <v>2527</v>
      </c>
      <c r="I61">
        <v>1</v>
      </c>
      <c r="J61">
        <v>2</v>
      </c>
      <c r="K61">
        <v>3</v>
      </c>
      <c r="L61">
        <v>4</v>
      </c>
      <c r="M61">
        <v>5</v>
      </c>
      <c r="N61" t="s">
        <v>2528</v>
      </c>
      <c r="V61" t="s">
        <v>19</v>
      </c>
      <c r="W61" t="s">
        <v>364</v>
      </c>
      <c r="X61">
        <v>45</v>
      </c>
      <c r="Y61">
        <v>2687.3999999999996</v>
      </c>
      <c r="AA61" t="str">
        <f t="shared" si="10"/>
        <v>California</v>
      </c>
      <c r="AB61" t="str">
        <f t="shared" si="13"/>
        <v>Madera County</v>
      </c>
      <c r="AC61">
        <f t="shared" si="14"/>
        <v>45</v>
      </c>
      <c r="AF61" t="str">
        <f t="shared" si="11"/>
        <v>California</v>
      </c>
      <c r="AG61" t="str">
        <f t="shared" si="11"/>
        <v>Madera County</v>
      </c>
      <c r="AH61">
        <f t="shared" si="12"/>
        <v>2687.3999999999996</v>
      </c>
      <c r="AJ61" t="s">
        <v>19</v>
      </c>
      <c r="AK61" t="s">
        <v>545</v>
      </c>
      <c r="AL61">
        <v>39</v>
      </c>
      <c r="AM61">
        <v>1463.3000000000002</v>
      </c>
    </row>
    <row r="62" spans="3:39" x14ac:dyDescent="0.5">
      <c r="C62" s="6">
        <v>5</v>
      </c>
      <c r="D62">
        <v>94</v>
      </c>
      <c r="H62" s="6" t="s">
        <v>2538</v>
      </c>
      <c r="I62">
        <v>7</v>
      </c>
      <c r="J62">
        <v>37</v>
      </c>
      <c r="K62">
        <v>150</v>
      </c>
      <c r="L62">
        <v>312</v>
      </c>
      <c r="M62">
        <v>224</v>
      </c>
      <c r="N62">
        <v>730</v>
      </c>
      <c r="V62" t="s">
        <v>19</v>
      </c>
      <c r="W62" t="s">
        <v>545</v>
      </c>
      <c r="X62">
        <v>39</v>
      </c>
      <c r="Y62">
        <v>1463.3000000000002</v>
      </c>
      <c r="AA62" t="str">
        <f t="shared" si="10"/>
        <v>California</v>
      </c>
      <c r="AB62" t="str">
        <f t="shared" si="13"/>
        <v>Marin County</v>
      </c>
      <c r="AC62">
        <f t="shared" si="14"/>
        <v>39</v>
      </c>
      <c r="AF62" t="str">
        <f t="shared" si="11"/>
        <v>California</v>
      </c>
      <c r="AG62" t="str">
        <f t="shared" si="11"/>
        <v>Marin County</v>
      </c>
      <c r="AH62">
        <f t="shared" si="12"/>
        <v>1463.3000000000002</v>
      </c>
      <c r="AJ62" t="s">
        <v>19</v>
      </c>
      <c r="AK62" t="s">
        <v>416</v>
      </c>
      <c r="AL62">
        <v>6</v>
      </c>
      <c r="AM62">
        <v>445.79999999999995</v>
      </c>
    </row>
    <row r="63" spans="3:39" x14ac:dyDescent="0.5">
      <c r="C63" s="6">
        <v>6</v>
      </c>
      <c r="D63">
        <v>51</v>
      </c>
      <c r="H63" s="6" t="s">
        <v>2539</v>
      </c>
      <c r="I63">
        <v>8</v>
      </c>
      <c r="J63">
        <v>51</v>
      </c>
      <c r="K63">
        <v>182</v>
      </c>
      <c r="L63">
        <v>373</v>
      </c>
      <c r="M63">
        <v>247</v>
      </c>
      <c r="N63">
        <v>861</v>
      </c>
      <c r="V63" t="s">
        <v>19</v>
      </c>
      <c r="W63" t="s">
        <v>416</v>
      </c>
      <c r="X63">
        <v>6</v>
      </c>
      <c r="Y63">
        <v>445.79999999999995</v>
      </c>
      <c r="AA63" t="str">
        <f t="shared" si="10"/>
        <v>California</v>
      </c>
      <c r="AB63" t="str">
        <f t="shared" si="13"/>
        <v>Mariposa County</v>
      </c>
      <c r="AC63">
        <f t="shared" si="14"/>
        <v>6</v>
      </c>
      <c r="AF63" t="str">
        <f t="shared" si="11"/>
        <v>California</v>
      </c>
      <c r="AG63" t="str">
        <f t="shared" si="11"/>
        <v>Mariposa County</v>
      </c>
      <c r="AH63">
        <f t="shared" si="12"/>
        <v>445.79999999999995</v>
      </c>
      <c r="AJ63" t="s">
        <v>19</v>
      </c>
      <c r="AK63" t="s">
        <v>258</v>
      </c>
      <c r="AL63">
        <v>9</v>
      </c>
      <c r="AM63">
        <v>273.59999999999997</v>
      </c>
    </row>
    <row r="64" spans="3:39" x14ac:dyDescent="0.5">
      <c r="C64" s="6">
        <v>7</v>
      </c>
      <c r="D64">
        <v>32</v>
      </c>
      <c r="H64" s="6" t="s">
        <v>2540</v>
      </c>
      <c r="I64">
        <v>6</v>
      </c>
      <c r="J64">
        <v>39</v>
      </c>
      <c r="K64">
        <v>163</v>
      </c>
      <c r="L64">
        <v>351</v>
      </c>
      <c r="M64">
        <v>250</v>
      </c>
      <c r="N64">
        <v>809</v>
      </c>
      <c r="V64" t="s">
        <v>19</v>
      </c>
      <c r="W64" t="s">
        <v>258</v>
      </c>
      <c r="X64">
        <v>9</v>
      </c>
      <c r="Y64">
        <v>273.59999999999997</v>
      </c>
      <c r="AA64" t="str">
        <f t="shared" si="10"/>
        <v>California</v>
      </c>
      <c r="AB64" t="str">
        <f t="shared" si="13"/>
        <v>Mendocino County</v>
      </c>
      <c r="AC64">
        <f t="shared" si="14"/>
        <v>9</v>
      </c>
      <c r="AF64" t="str">
        <f t="shared" si="11"/>
        <v>California</v>
      </c>
      <c r="AG64" t="str">
        <f t="shared" si="11"/>
        <v>Mendocino County</v>
      </c>
      <c r="AH64">
        <f t="shared" si="12"/>
        <v>273.59999999999997</v>
      </c>
      <c r="AJ64" t="s">
        <v>19</v>
      </c>
      <c r="AK64" t="s">
        <v>186</v>
      </c>
      <c r="AL64">
        <v>60</v>
      </c>
      <c r="AM64">
        <v>2690.4</v>
      </c>
    </row>
    <row r="65" spans="3:39" x14ac:dyDescent="0.5">
      <c r="C65" s="6">
        <v>8</v>
      </c>
      <c r="D65">
        <v>23</v>
      </c>
      <c r="H65" s="6" t="s">
        <v>2528</v>
      </c>
      <c r="I65">
        <v>21</v>
      </c>
      <c r="J65">
        <v>127</v>
      </c>
      <c r="K65">
        <v>495</v>
      </c>
      <c r="L65">
        <v>1036</v>
      </c>
      <c r="M65">
        <v>721</v>
      </c>
      <c r="N65">
        <v>2400</v>
      </c>
      <c r="V65" t="s">
        <v>19</v>
      </c>
      <c r="W65" t="s">
        <v>186</v>
      </c>
      <c r="X65">
        <v>60</v>
      </c>
      <c r="Y65">
        <v>2690.4</v>
      </c>
      <c r="AA65" t="str">
        <f t="shared" si="10"/>
        <v>California</v>
      </c>
      <c r="AB65" t="str">
        <f t="shared" si="13"/>
        <v>Merced County</v>
      </c>
      <c r="AC65">
        <f t="shared" si="14"/>
        <v>60</v>
      </c>
      <c r="AF65" t="str">
        <f t="shared" si="11"/>
        <v>California</v>
      </c>
      <c r="AG65" t="str">
        <f t="shared" si="11"/>
        <v>Merced County</v>
      </c>
      <c r="AH65">
        <f t="shared" si="12"/>
        <v>2690.4</v>
      </c>
      <c r="AJ65" t="s">
        <v>19</v>
      </c>
      <c r="AK65" t="s">
        <v>392</v>
      </c>
      <c r="AL65">
        <v>2</v>
      </c>
      <c r="AM65">
        <v>28.4</v>
      </c>
    </row>
    <row r="66" spans="3:39" x14ac:dyDescent="0.5">
      <c r="C66" s="6">
        <v>9</v>
      </c>
      <c r="D66">
        <v>9</v>
      </c>
      <c r="V66" t="s">
        <v>19</v>
      </c>
      <c r="W66" t="s">
        <v>392</v>
      </c>
      <c r="X66">
        <v>2</v>
      </c>
      <c r="Y66">
        <v>28.4</v>
      </c>
      <c r="AA66" t="str">
        <f t="shared" si="10"/>
        <v>California</v>
      </c>
      <c r="AB66" t="str">
        <f t="shared" si="13"/>
        <v>Modoc County</v>
      </c>
      <c r="AC66">
        <f t="shared" si="14"/>
        <v>2</v>
      </c>
      <c r="AF66" t="str">
        <f t="shared" si="11"/>
        <v>California</v>
      </c>
      <c r="AG66" t="str">
        <f t="shared" si="11"/>
        <v>Modoc County</v>
      </c>
      <c r="AH66">
        <f t="shared" si="12"/>
        <v>28.4</v>
      </c>
      <c r="AJ66" t="s">
        <v>19</v>
      </c>
      <c r="AK66" t="s">
        <v>670</v>
      </c>
      <c r="AL66">
        <v>4</v>
      </c>
      <c r="AM66">
        <v>204.8</v>
      </c>
    </row>
    <row r="67" spans="3:39" x14ac:dyDescent="0.5">
      <c r="C67" s="6">
        <v>10</v>
      </c>
      <c r="D67">
        <v>8</v>
      </c>
      <c r="V67" t="s">
        <v>19</v>
      </c>
      <c r="W67" t="s">
        <v>670</v>
      </c>
      <c r="X67">
        <v>4</v>
      </c>
      <c r="Y67">
        <v>204.8</v>
      </c>
      <c r="AA67" t="str">
        <f t="shared" si="10"/>
        <v>California</v>
      </c>
      <c r="AB67" t="str">
        <f t="shared" si="13"/>
        <v>Mono County</v>
      </c>
      <c r="AC67">
        <f t="shared" si="14"/>
        <v>4</v>
      </c>
      <c r="AF67" t="str">
        <f t="shared" si="11"/>
        <v>California</v>
      </c>
      <c r="AG67" t="str">
        <f t="shared" si="11"/>
        <v>Mono County</v>
      </c>
      <c r="AH67">
        <f t="shared" si="12"/>
        <v>204.8</v>
      </c>
      <c r="AJ67" t="s">
        <v>19</v>
      </c>
      <c r="AK67" t="s">
        <v>802</v>
      </c>
      <c r="AL67">
        <v>31</v>
      </c>
      <c r="AM67">
        <v>1607.8999999999999</v>
      </c>
    </row>
    <row r="68" spans="3:39" x14ac:dyDescent="0.5">
      <c r="C68" s="6">
        <v>11</v>
      </c>
      <c r="D68">
        <v>11</v>
      </c>
      <c r="V68" t="s">
        <v>19</v>
      </c>
      <c r="W68" t="s">
        <v>802</v>
      </c>
      <c r="X68">
        <v>31</v>
      </c>
      <c r="Y68">
        <v>1607.8999999999999</v>
      </c>
      <c r="AA68" t="str">
        <f t="shared" si="10"/>
        <v>California</v>
      </c>
      <c r="AB68" t="str">
        <f t="shared" si="13"/>
        <v>Monterey County</v>
      </c>
      <c r="AC68">
        <f t="shared" si="14"/>
        <v>31</v>
      </c>
      <c r="AF68" t="str">
        <f t="shared" si="11"/>
        <v>California</v>
      </c>
      <c r="AG68" t="str">
        <f t="shared" si="11"/>
        <v>Monterey County</v>
      </c>
      <c r="AH68">
        <f t="shared" si="12"/>
        <v>1607.8999999999999</v>
      </c>
      <c r="AJ68" t="s">
        <v>19</v>
      </c>
      <c r="AK68" t="s">
        <v>98</v>
      </c>
      <c r="AL68">
        <v>88</v>
      </c>
      <c r="AM68">
        <v>6444.9</v>
      </c>
    </row>
    <row r="69" spans="3:39" x14ac:dyDescent="0.5">
      <c r="C69" s="6">
        <v>12</v>
      </c>
      <c r="D69">
        <v>4</v>
      </c>
      <c r="V69" t="s">
        <v>19</v>
      </c>
      <c r="W69" t="s">
        <v>98</v>
      </c>
      <c r="X69">
        <v>88</v>
      </c>
      <c r="Y69">
        <v>6444.9</v>
      </c>
      <c r="AA69" t="str">
        <f t="shared" si="10"/>
        <v>California</v>
      </c>
      <c r="AB69" t="str">
        <f t="shared" si="13"/>
        <v>Napa County</v>
      </c>
      <c r="AC69">
        <f t="shared" si="14"/>
        <v>88</v>
      </c>
      <c r="AF69" t="str">
        <f t="shared" si="11"/>
        <v>California</v>
      </c>
      <c r="AG69" t="str">
        <f t="shared" si="11"/>
        <v>Napa County</v>
      </c>
      <c r="AH69">
        <f t="shared" si="12"/>
        <v>6444.9</v>
      </c>
      <c r="AJ69" t="s">
        <v>19</v>
      </c>
      <c r="AK69" t="s">
        <v>49</v>
      </c>
      <c r="AL69">
        <v>25</v>
      </c>
      <c r="AM69">
        <v>1809.3</v>
      </c>
    </row>
    <row r="70" spans="3:39" x14ac:dyDescent="0.5">
      <c r="C70" s="6">
        <v>13</v>
      </c>
      <c r="D70">
        <v>10</v>
      </c>
      <c r="V70" t="s">
        <v>19</v>
      </c>
      <c r="W70" t="s">
        <v>49</v>
      </c>
      <c r="X70">
        <v>25</v>
      </c>
      <c r="Y70">
        <v>1809.3</v>
      </c>
      <c r="AA70" t="str">
        <f t="shared" si="10"/>
        <v>California</v>
      </c>
      <c r="AB70" t="str">
        <f t="shared" si="13"/>
        <v>Nevada County</v>
      </c>
      <c r="AC70">
        <f t="shared" si="14"/>
        <v>25</v>
      </c>
      <c r="AF70" t="str">
        <f t="shared" si="11"/>
        <v>California</v>
      </c>
      <c r="AG70" t="str">
        <f t="shared" si="11"/>
        <v>Nevada County</v>
      </c>
      <c r="AH70">
        <f t="shared" si="12"/>
        <v>1809.3</v>
      </c>
      <c r="AJ70" t="s">
        <v>19</v>
      </c>
      <c r="AK70" t="s">
        <v>188</v>
      </c>
      <c r="AL70">
        <v>178</v>
      </c>
      <c r="AM70">
        <v>9680.399999999996</v>
      </c>
    </row>
    <row r="71" spans="3:39" x14ac:dyDescent="0.5">
      <c r="C71" s="6">
        <v>14</v>
      </c>
      <c r="D71">
        <v>13</v>
      </c>
      <c r="V71" t="s">
        <v>19</v>
      </c>
      <c r="W71" t="s">
        <v>188</v>
      </c>
      <c r="X71">
        <v>178</v>
      </c>
      <c r="Y71">
        <v>9680.399999999996</v>
      </c>
      <c r="AA71" t="str">
        <f t="shared" si="10"/>
        <v>California</v>
      </c>
      <c r="AB71" t="str">
        <f t="shared" si="13"/>
        <v>Orange County</v>
      </c>
      <c r="AC71">
        <f t="shared" si="14"/>
        <v>178</v>
      </c>
      <c r="AF71" t="str">
        <f t="shared" si="11"/>
        <v>California</v>
      </c>
      <c r="AG71" t="str">
        <f t="shared" si="11"/>
        <v>Orange County</v>
      </c>
      <c r="AH71">
        <f t="shared" si="12"/>
        <v>9680.399999999996</v>
      </c>
      <c r="AJ71" t="s">
        <v>19</v>
      </c>
      <c r="AK71" t="s">
        <v>52</v>
      </c>
      <c r="AL71">
        <v>141</v>
      </c>
      <c r="AM71">
        <v>9414.7999999999993</v>
      </c>
    </row>
    <row r="72" spans="3:39" x14ac:dyDescent="0.5">
      <c r="C72" s="6" t="s">
        <v>2528</v>
      </c>
      <c r="D72">
        <v>2400</v>
      </c>
      <c r="V72" t="s">
        <v>19</v>
      </c>
      <c r="W72" t="s">
        <v>52</v>
      </c>
      <c r="X72">
        <v>141</v>
      </c>
      <c r="Y72">
        <v>9414.7999999999993</v>
      </c>
      <c r="AA72" t="str">
        <f t="shared" si="10"/>
        <v>California</v>
      </c>
      <c r="AB72" t="str">
        <f t="shared" si="13"/>
        <v>Placer County</v>
      </c>
      <c r="AC72">
        <f t="shared" si="14"/>
        <v>141</v>
      </c>
      <c r="AF72" t="str">
        <f t="shared" si="11"/>
        <v>California</v>
      </c>
      <c r="AG72" t="str">
        <f t="shared" si="11"/>
        <v>Placer County</v>
      </c>
      <c r="AH72">
        <f t="shared" si="12"/>
        <v>9414.7999999999993</v>
      </c>
      <c r="AJ72" t="s">
        <v>19</v>
      </c>
      <c r="AK72" t="s">
        <v>338</v>
      </c>
      <c r="AL72">
        <v>6</v>
      </c>
      <c r="AM72">
        <v>206.1</v>
      </c>
    </row>
    <row r="73" spans="3:39" x14ac:dyDescent="0.5">
      <c r="V73" t="s">
        <v>19</v>
      </c>
      <c r="W73" t="s">
        <v>338</v>
      </c>
      <c r="X73">
        <v>6</v>
      </c>
      <c r="Y73">
        <v>206.1</v>
      </c>
      <c r="AA73" t="str">
        <f t="shared" si="10"/>
        <v>California</v>
      </c>
      <c r="AB73" t="str">
        <f t="shared" si="13"/>
        <v>Plumas County</v>
      </c>
      <c r="AC73">
        <f t="shared" si="14"/>
        <v>6</v>
      </c>
      <c r="AF73" t="str">
        <f t="shared" si="11"/>
        <v>California</v>
      </c>
      <c r="AG73" t="str">
        <f t="shared" si="11"/>
        <v>Plumas County</v>
      </c>
      <c r="AH73">
        <f t="shared" si="12"/>
        <v>206.1</v>
      </c>
      <c r="AJ73" t="s">
        <v>19</v>
      </c>
      <c r="AK73" t="s">
        <v>158</v>
      </c>
      <c r="AL73">
        <v>178</v>
      </c>
      <c r="AM73">
        <v>7691.3</v>
      </c>
    </row>
    <row r="74" spans="3:39" x14ac:dyDescent="0.5">
      <c r="V74" t="s">
        <v>19</v>
      </c>
      <c r="W74" t="s">
        <v>158</v>
      </c>
      <c r="X74">
        <v>178</v>
      </c>
      <c r="Y74">
        <v>7691.3</v>
      </c>
      <c r="AA74" t="str">
        <f t="shared" si="10"/>
        <v>California</v>
      </c>
      <c r="AB74" t="str">
        <f t="shared" si="13"/>
        <v>Riverside County</v>
      </c>
      <c r="AC74">
        <f t="shared" si="14"/>
        <v>178</v>
      </c>
      <c r="AF74" t="str">
        <f t="shared" si="11"/>
        <v>California</v>
      </c>
      <c r="AG74" t="str">
        <f t="shared" si="11"/>
        <v>Riverside County</v>
      </c>
      <c r="AH74">
        <f t="shared" si="12"/>
        <v>7691.3</v>
      </c>
      <c r="AJ74" t="s">
        <v>19</v>
      </c>
      <c r="AK74" t="s">
        <v>55</v>
      </c>
      <c r="AL74">
        <v>699</v>
      </c>
      <c r="AM74">
        <v>37784.900000000016</v>
      </c>
    </row>
    <row r="75" spans="3:39" x14ac:dyDescent="0.5">
      <c r="V75" t="s">
        <v>19</v>
      </c>
      <c r="W75" t="s">
        <v>55</v>
      </c>
      <c r="X75">
        <v>699</v>
      </c>
      <c r="Y75">
        <v>37784.900000000016</v>
      </c>
      <c r="AA75" t="str">
        <f t="shared" si="10"/>
        <v>California</v>
      </c>
      <c r="AB75" t="str">
        <f t="shared" si="13"/>
        <v>Sacramento County</v>
      </c>
      <c r="AC75">
        <f t="shared" si="14"/>
        <v>699</v>
      </c>
      <c r="AF75" t="str">
        <f t="shared" si="11"/>
        <v>California</v>
      </c>
      <c r="AG75" t="str">
        <f t="shared" si="11"/>
        <v>Sacramento County</v>
      </c>
      <c r="AH75">
        <f t="shared" si="12"/>
        <v>37784.900000000016</v>
      </c>
      <c r="AJ75" t="s">
        <v>19</v>
      </c>
      <c r="AK75" t="s">
        <v>342</v>
      </c>
      <c r="AL75">
        <v>23</v>
      </c>
      <c r="AM75">
        <v>1129.7</v>
      </c>
    </row>
    <row r="76" spans="3:39" x14ac:dyDescent="0.5">
      <c r="V76" t="s">
        <v>19</v>
      </c>
      <c r="W76" t="s">
        <v>342</v>
      </c>
      <c r="X76">
        <v>23</v>
      </c>
      <c r="Y76">
        <v>1129.7</v>
      </c>
      <c r="AA76" t="str">
        <f t="shared" si="10"/>
        <v>California</v>
      </c>
      <c r="AB76" t="str">
        <f t="shared" si="13"/>
        <v>San Benito County</v>
      </c>
      <c r="AC76">
        <f t="shared" si="14"/>
        <v>23</v>
      </c>
      <c r="AF76" t="str">
        <f t="shared" si="11"/>
        <v>California</v>
      </c>
      <c r="AG76" t="str">
        <f t="shared" si="11"/>
        <v>San Benito County</v>
      </c>
      <c r="AH76">
        <f t="shared" si="12"/>
        <v>1129.7</v>
      </c>
      <c r="AJ76" t="s">
        <v>19</v>
      </c>
      <c r="AK76" t="s">
        <v>59</v>
      </c>
      <c r="AL76">
        <v>356</v>
      </c>
      <c r="AM76">
        <v>20988.9</v>
      </c>
    </row>
    <row r="77" spans="3:39" x14ac:dyDescent="0.5">
      <c r="V77" t="s">
        <v>19</v>
      </c>
      <c r="W77" t="s">
        <v>59</v>
      </c>
      <c r="X77">
        <v>356</v>
      </c>
      <c r="Y77">
        <v>20988.9</v>
      </c>
      <c r="AA77" t="str">
        <f t="shared" si="10"/>
        <v>California</v>
      </c>
      <c r="AB77" t="str">
        <f t="shared" si="13"/>
        <v>San Bernardino County</v>
      </c>
      <c r="AC77">
        <f t="shared" si="14"/>
        <v>356</v>
      </c>
      <c r="AF77" t="str">
        <f t="shared" si="11"/>
        <v>California</v>
      </c>
      <c r="AG77" t="str">
        <f t="shared" si="11"/>
        <v>San Bernardino County</v>
      </c>
      <c r="AH77">
        <f t="shared" si="12"/>
        <v>20988.9</v>
      </c>
      <c r="AJ77" t="s">
        <v>19</v>
      </c>
      <c r="AK77" t="s">
        <v>62</v>
      </c>
      <c r="AL77">
        <v>1768</v>
      </c>
      <c r="AM77">
        <v>98367.099999999977</v>
      </c>
    </row>
    <row r="78" spans="3:39" x14ac:dyDescent="0.5">
      <c r="V78" t="s">
        <v>19</v>
      </c>
      <c r="W78" t="s">
        <v>62</v>
      </c>
      <c r="X78">
        <v>1768</v>
      </c>
      <c r="Y78">
        <v>98367.099999999977</v>
      </c>
      <c r="AA78" t="str">
        <f t="shared" si="10"/>
        <v>California</v>
      </c>
      <c r="AB78" t="str">
        <f t="shared" si="13"/>
        <v>San Diego County</v>
      </c>
      <c r="AC78">
        <f t="shared" si="14"/>
        <v>1768</v>
      </c>
      <c r="AF78" t="str">
        <f t="shared" si="11"/>
        <v>California</v>
      </c>
      <c r="AG78" t="str">
        <f t="shared" si="11"/>
        <v>San Diego County</v>
      </c>
      <c r="AH78">
        <f t="shared" si="12"/>
        <v>98367.099999999977</v>
      </c>
      <c r="AJ78" t="s">
        <v>19</v>
      </c>
      <c r="AK78" t="s">
        <v>103</v>
      </c>
      <c r="AL78">
        <v>307</v>
      </c>
      <c r="AM78">
        <v>21911.9</v>
      </c>
    </row>
    <row r="79" spans="3:39" x14ac:dyDescent="0.5">
      <c r="V79" t="s">
        <v>19</v>
      </c>
      <c r="W79" t="s">
        <v>103</v>
      </c>
      <c r="X79">
        <v>307</v>
      </c>
      <c r="Y79">
        <v>21911.9</v>
      </c>
      <c r="AA79" t="str">
        <f t="shared" si="10"/>
        <v>California</v>
      </c>
      <c r="AB79" t="str">
        <f t="shared" si="13"/>
        <v>San Francisco</v>
      </c>
      <c r="AC79">
        <f t="shared" si="14"/>
        <v>307</v>
      </c>
      <c r="AF79" t="str">
        <f t="shared" si="11"/>
        <v>California</v>
      </c>
      <c r="AG79" t="str">
        <f t="shared" si="11"/>
        <v>San Francisco</v>
      </c>
      <c r="AH79">
        <f t="shared" si="12"/>
        <v>21911.9</v>
      </c>
      <c r="AJ79" t="s">
        <v>19</v>
      </c>
      <c r="AK79" t="s">
        <v>201</v>
      </c>
      <c r="AL79">
        <v>117</v>
      </c>
      <c r="AM79">
        <v>5441.2</v>
      </c>
    </row>
    <row r="80" spans="3:39" x14ac:dyDescent="0.5">
      <c r="V80" t="s">
        <v>19</v>
      </c>
      <c r="W80" t="s">
        <v>201</v>
      </c>
      <c r="X80">
        <v>117</v>
      </c>
      <c r="Y80">
        <v>5441.2</v>
      </c>
      <c r="AA80" t="str">
        <f t="shared" si="10"/>
        <v>California</v>
      </c>
      <c r="AB80" t="str">
        <f t="shared" si="13"/>
        <v>San Joaquin County</v>
      </c>
      <c r="AC80">
        <f t="shared" si="14"/>
        <v>117</v>
      </c>
      <c r="AF80" t="str">
        <f t="shared" si="11"/>
        <v>California</v>
      </c>
      <c r="AG80" t="str">
        <f t="shared" si="11"/>
        <v>San Joaquin County</v>
      </c>
      <c r="AH80">
        <f t="shared" si="12"/>
        <v>5441.2</v>
      </c>
      <c r="AJ80" t="s">
        <v>19</v>
      </c>
      <c r="AK80" t="s">
        <v>429</v>
      </c>
      <c r="AL80">
        <v>13</v>
      </c>
      <c r="AM80">
        <v>392.8</v>
      </c>
    </row>
    <row r="81" spans="22:39" x14ac:dyDescent="0.5">
      <c r="V81" t="s">
        <v>19</v>
      </c>
      <c r="W81" t="s">
        <v>429</v>
      </c>
      <c r="X81">
        <v>13</v>
      </c>
      <c r="Y81">
        <v>392.8</v>
      </c>
      <c r="AA81" t="str">
        <f t="shared" si="10"/>
        <v>California</v>
      </c>
      <c r="AB81" t="str">
        <f t="shared" si="13"/>
        <v>San Luis Obispo County</v>
      </c>
      <c r="AC81">
        <f t="shared" si="14"/>
        <v>13</v>
      </c>
      <c r="AF81" t="str">
        <f t="shared" si="11"/>
        <v>California</v>
      </c>
      <c r="AG81" t="str">
        <f t="shared" si="11"/>
        <v>San Luis Obispo County</v>
      </c>
      <c r="AH81">
        <f t="shared" si="12"/>
        <v>392.8</v>
      </c>
      <c r="AJ81" t="s">
        <v>19</v>
      </c>
      <c r="AK81" t="s">
        <v>72</v>
      </c>
      <c r="AL81">
        <v>364</v>
      </c>
      <c r="AM81">
        <v>16172.000000000005</v>
      </c>
    </row>
    <row r="82" spans="22:39" x14ac:dyDescent="0.5">
      <c r="V82" t="s">
        <v>19</v>
      </c>
      <c r="W82" t="s">
        <v>72</v>
      </c>
      <c r="X82">
        <v>364</v>
      </c>
      <c r="Y82">
        <v>16172.000000000005</v>
      </c>
      <c r="AA82" t="str">
        <f t="shared" si="10"/>
        <v>California</v>
      </c>
      <c r="AB82" t="str">
        <f t="shared" si="13"/>
        <v>San Mateo County</v>
      </c>
      <c r="AC82">
        <f t="shared" si="14"/>
        <v>364</v>
      </c>
      <c r="AF82" t="str">
        <f t="shared" si="11"/>
        <v>California</v>
      </c>
      <c r="AG82" t="str">
        <f t="shared" si="11"/>
        <v>San Mateo County</v>
      </c>
      <c r="AH82">
        <f t="shared" si="12"/>
        <v>16172.000000000005</v>
      </c>
      <c r="AJ82" t="s">
        <v>19</v>
      </c>
      <c r="AK82" t="s">
        <v>74</v>
      </c>
      <c r="AL82">
        <v>95</v>
      </c>
      <c r="AM82">
        <v>4334.9999999999991</v>
      </c>
    </row>
    <row r="83" spans="22:39" x14ac:dyDescent="0.5">
      <c r="V83" t="s">
        <v>19</v>
      </c>
      <c r="W83" t="s">
        <v>74</v>
      </c>
      <c r="X83">
        <v>95</v>
      </c>
      <c r="Y83">
        <v>4334.9999999999991</v>
      </c>
      <c r="AA83" t="str">
        <f t="shared" si="10"/>
        <v>California</v>
      </c>
      <c r="AB83" t="str">
        <f t="shared" si="13"/>
        <v>Santa Barbara County</v>
      </c>
      <c r="AC83">
        <f t="shared" si="14"/>
        <v>95</v>
      </c>
      <c r="AF83" t="str">
        <f t="shared" si="11"/>
        <v>California</v>
      </c>
      <c r="AG83" t="str">
        <f t="shared" si="11"/>
        <v>Santa Barbara County</v>
      </c>
      <c r="AH83">
        <f t="shared" si="12"/>
        <v>4334.9999999999991</v>
      </c>
      <c r="AJ83" t="s">
        <v>19</v>
      </c>
      <c r="AK83" t="s">
        <v>77</v>
      </c>
      <c r="AL83">
        <v>737</v>
      </c>
      <c r="AM83">
        <v>37449.000000000007</v>
      </c>
    </row>
    <row r="84" spans="22:39" x14ac:dyDescent="0.5">
      <c r="V84" t="s">
        <v>19</v>
      </c>
      <c r="W84" t="s">
        <v>77</v>
      </c>
      <c r="X84">
        <v>737</v>
      </c>
      <c r="Y84">
        <v>37449.000000000007</v>
      </c>
      <c r="AA84" t="str">
        <f t="shared" si="10"/>
        <v>California</v>
      </c>
      <c r="AB84" t="str">
        <f t="shared" si="13"/>
        <v>Santa Clara County</v>
      </c>
      <c r="AC84">
        <f t="shared" si="14"/>
        <v>737</v>
      </c>
      <c r="AF84" t="str">
        <f t="shared" si="11"/>
        <v>California</v>
      </c>
      <c r="AG84" t="str">
        <f t="shared" si="11"/>
        <v>Santa Clara County</v>
      </c>
      <c r="AH84">
        <f t="shared" si="12"/>
        <v>37449.000000000007</v>
      </c>
      <c r="AJ84" t="s">
        <v>19</v>
      </c>
      <c r="AK84" t="s">
        <v>309</v>
      </c>
      <c r="AL84">
        <v>39</v>
      </c>
      <c r="AM84">
        <v>2447.5</v>
      </c>
    </row>
    <row r="85" spans="22:39" x14ac:dyDescent="0.5">
      <c r="V85" t="s">
        <v>19</v>
      </c>
      <c r="W85" t="s">
        <v>309</v>
      </c>
      <c r="X85">
        <v>39</v>
      </c>
      <c r="Y85">
        <v>2447.5</v>
      </c>
      <c r="AA85" t="str">
        <f t="shared" si="10"/>
        <v>California</v>
      </c>
      <c r="AB85" t="str">
        <f t="shared" si="13"/>
        <v>Santa Cruz County</v>
      </c>
      <c r="AC85">
        <f t="shared" si="14"/>
        <v>39</v>
      </c>
      <c r="AF85" t="str">
        <f t="shared" si="11"/>
        <v>California</v>
      </c>
      <c r="AG85" t="str">
        <f t="shared" si="11"/>
        <v>Santa Cruz County</v>
      </c>
      <c r="AH85">
        <f t="shared" si="12"/>
        <v>2447.5</v>
      </c>
      <c r="AJ85" t="s">
        <v>19</v>
      </c>
      <c r="AK85" t="s">
        <v>1116</v>
      </c>
      <c r="AL85">
        <v>56</v>
      </c>
      <c r="AM85">
        <v>3391.1</v>
      </c>
    </row>
    <row r="86" spans="22:39" x14ac:dyDescent="0.5">
      <c r="V86" t="s">
        <v>19</v>
      </c>
      <c r="W86" t="s">
        <v>1116</v>
      </c>
      <c r="X86">
        <v>56</v>
      </c>
      <c r="Y86">
        <v>3391.1</v>
      </c>
      <c r="AA86" t="str">
        <f t="shared" si="10"/>
        <v>California</v>
      </c>
      <c r="AB86" t="str">
        <f t="shared" si="13"/>
        <v>Shasta County</v>
      </c>
      <c r="AC86">
        <f t="shared" si="14"/>
        <v>56</v>
      </c>
      <c r="AF86" t="str">
        <f t="shared" si="11"/>
        <v>California</v>
      </c>
      <c r="AG86" t="str">
        <f t="shared" si="11"/>
        <v>Shasta County</v>
      </c>
      <c r="AH86">
        <f t="shared" si="12"/>
        <v>3391.1</v>
      </c>
      <c r="AJ86" t="s">
        <v>19</v>
      </c>
      <c r="AK86" t="s">
        <v>700</v>
      </c>
      <c r="AL86">
        <v>2</v>
      </c>
      <c r="AM86">
        <v>30.8</v>
      </c>
    </row>
    <row r="87" spans="22:39" x14ac:dyDescent="0.5">
      <c r="V87" t="s">
        <v>19</v>
      </c>
      <c r="W87" t="s">
        <v>700</v>
      </c>
      <c r="X87">
        <v>2</v>
      </c>
      <c r="Y87">
        <v>30.8</v>
      </c>
      <c r="AA87" t="str">
        <f t="shared" si="10"/>
        <v>California</v>
      </c>
      <c r="AB87" t="str">
        <f t="shared" si="13"/>
        <v>Sierra County</v>
      </c>
      <c r="AC87">
        <f t="shared" si="14"/>
        <v>2</v>
      </c>
      <c r="AF87" t="str">
        <f t="shared" si="11"/>
        <v>California</v>
      </c>
      <c r="AG87" t="str">
        <f t="shared" si="11"/>
        <v>Sierra County</v>
      </c>
      <c r="AH87">
        <f t="shared" si="12"/>
        <v>30.8</v>
      </c>
      <c r="AJ87" t="s">
        <v>19</v>
      </c>
      <c r="AK87" t="s">
        <v>268</v>
      </c>
      <c r="AL87">
        <v>8</v>
      </c>
      <c r="AM87">
        <v>332.3</v>
      </c>
    </row>
    <row r="88" spans="22:39" x14ac:dyDescent="0.5">
      <c r="V88" t="s">
        <v>19</v>
      </c>
      <c r="W88" t="s">
        <v>268</v>
      </c>
      <c r="X88">
        <v>8</v>
      </c>
      <c r="Y88">
        <v>332.3</v>
      </c>
      <c r="AA88" t="str">
        <f t="shared" si="10"/>
        <v>California</v>
      </c>
      <c r="AB88" t="str">
        <f t="shared" si="13"/>
        <v>Siskiyou County</v>
      </c>
      <c r="AC88">
        <f t="shared" si="14"/>
        <v>8</v>
      </c>
      <c r="AF88" t="str">
        <f t="shared" si="11"/>
        <v>California</v>
      </c>
      <c r="AG88" t="str">
        <f t="shared" si="11"/>
        <v>Siskiyou County</v>
      </c>
      <c r="AH88">
        <f t="shared" si="12"/>
        <v>332.3</v>
      </c>
      <c r="AJ88" t="s">
        <v>19</v>
      </c>
      <c r="AK88" t="s">
        <v>377</v>
      </c>
      <c r="AL88">
        <v>52</v>
      </c>
      <c r="AM88">
        <v>3175.9999999999995</v>
      </c>
    </row>
    <row r="89" spans="22:39" x14ac:dyDescent="0.5">
      <c r="V89" t="s">
        <v>19</v>
      </c>
      <c r="W89" t="s">
        <v>377</v>
      </c>
      <c r="X89">
        <v>52</v>
      </c>
      <c r="Y89">
        <v>3175.9999999999995</v>
      </c>
      <c r="AA89" t="str">
        <f t="shared" si="10"/>
        <v>California</v>
      </c>
      <c r="AB89" t="str">
        <f t="shared" si="13"/>
        <v>Solano County</v>
      </c>
      <c r="AC89">
        <f t="shared" si="14"/>
        <v>52</v>
      </c>
      <c r="AF89" t="str">
        <f t="shared" si="11"/>
        <v>California</v>
      </c>
      <c r="AG89" t="str">
        <f t="shared" si="11"/>
        <v>Solano County</v>
      </c>
      <c r="AH89">
        <f t="shared" si="12"/>
        <v>3175.9999999999995</v>
      </c>
      <c r="AJ89" t="s">
        <v>19</v>
      </c>
      <c r="AK89" t="s">
        <v>108</v>
      </c>
      <c r="AL89">
        <v>295</v>
      </c>
      <c r="AM89">
        <v>20939.600000000002</v>
      </c>
    </row>
    <row r="90" spans="22:39" x14ac:dyDescent="0.5">
      <c r="V90" t="s">
        <v>19</v>
      </c>
      <c r="W90" t="s">
        <v>108</v>
      </c>
      <c r="X90">
        <v>295</v>
      </c>
      <c r="Y90">
        <v>20939.600000000002</v>
      </c>
      <c r="AA90" t="str">
        <f t="shared" si="10"/>
        <v>California</v>
      </c>
      <c r="AB90" t="str">
        <f t="shared" si="13"/>
        <v>Sonoma County</v>
      </c>
      <c r="AC90">
        <f t="shared" si="14"/>
        <v>295</v>
      </c>
      <c r="AF90" t="str">
        <f t="shared" si="11"/>
        <v>California</v>
      </c>
      <c r="AG90" t="str">
        <f t="shared" si="11"/>
        <v>Sonoma County</v>
      </c>
      <c r="AH90">
        <f t="shared" si="12"/>
        <v>20939.600000000002</v>
      </c>
      <c r="AJ90" t="s">
        <v>19</v>
      </c>
      <c r="AK90" t="s">
        <v>110</v>
      </c>
      <c r="AL90">
        <v>195</v>
      </c>
      <c r="AM90">
        <v>10185.899999999996</v>
      </c>
    </row>
    <row r="91" spans="22:39" x14ac:dyDescent="0.5">
      <c r="V91" t="s">
        <v>19</v>
      </c>
      <c r="W91" t="s">
        <v>110</v>
      </c>
      <c r="X91">
        <v>195</v>
      </c>
      <c r="Y91">
        <v>10185.899999999996</v>
      </c>
      <c r="AA91" t="str">
        <f t="shared" si="10"/>
        <v>California</v>
      </c>
      <c r="AB91" t="str">
        <f t="shared" si="13"/>
        <v>Stanislaus County</v>
      </c>
      <c r="AC91">
        <f t="shared" si="14"/>
        <v>195</v>
      </c>
      <c r="AF91" t="str">
        <f t="shared" si="11"/>
        <v>California</v>
      </c>
      <c r="AG91" t="str">
        <f t="shared" si="11"/>
        <v>Stanislaus County</v>
      </c>
      <c r="AH91">
        <f t="shared" si="12"/>
        <v>10185.899999999996</v>
      </c>
      <c r="AJ91" t="s">
        <v>19</v>
      </c>
      <c r="AK91" t="s">
        <v>292</v>
      </c>
      <c r="AL91">
        <v>20</v>
      </c>
      <c r="AM91">
        <v>958.7</v>
      </c>
    </row>
    <row r="92" spans="22:39" x14ac:dyDescent="0.5">
      <c r="V92" t="s">
        <v>19</v>
      </c>
      <c r="W92" t="s">
        <v>292</v>
      </c>
      <c r="X92">
        <v>20</v>
      </c>
      <c r="Y92">
        <v>958.7</v>
      </c>
      <c r="AA92" t="str">
        <f t="shared" si="10"/>
        <v>California</v>
      </c>
      <c r="AB92" t="str">
        <f t="shared" si="13"/>
        <v>Sutter County</v>
      </c>
      <c r="AC92">
        <f t="shared" si="14"/>
        <v>20</v>
      </c>
      <c r="AF92" t="str">
        <f t="shared" si="11"/>
        <v>California</v>
      </c>
      <c r="AG92" t="str">
        <f t="shared" si="11"/>
        <v>Sutter County</v>
      </c>
      <c r="AH92">
        <f t="shared" si="12"/>
        <v>958.7</v>
      </c>
      <c r="AJ92" t="s">
        <v>19</v>
      </c>
      <c r="AK92" t="s">
        <v>79</v>
      </c>
      <c r="AL92">
        <v>6</v>
      </c>
      <c r="AM92">
        <v>323</v>
      </c>
    </row>
    <row r="93" spans="22:39" x14ac:dyDescent="0.5">
      <c r="V93" t="s">
        <v>19</v>
      </c>
      <c r="W93" t="s">
        <v>79</v>
      </c>
      <c r="X93">
        <v>6</v>
      </c>
      <c r="Y93">
        <v>323</v>
      </c>
      <c r="AA93" t="str">
        <f t="shared" si="10"/>
        <v>California</v>
      </c>
      <c r="AB93" t="str">
        <f t="shared" si="13"/>
        <v>Tehama County</v>
      </c>
      <c r="AC93">
        <f t="shared" si="14"/>
        <v>6</v>
      </c>
      <c r="AF93" t="str">
        <f t="shared" si="11"/>
        <v>California</v>
      </c>
      <c r="AG93" t="str">
        <f t="shared" si="11"/>
        <v>Tehama County</v>
      </c>
      <c r="AH93">
        <f t="shared" si="12"/>
        <v>323</v>
      </c>
      <c r="AJ93" t="s">
        <v>19</v>
      </c>
      <c r="AK93" t="s">
        <v>608</v>
      </c>
      <c r="AL93">
        <v>5</v>
      </c>
      <c r="AM93">
        <v>167.70000000000002</v>
      </c>
    </row>
    <row r="94" spans="22:39" x14ac:dyDescent="0.5">
      <c r="V94" t="s">
        <v>19</v>
      </c>
      <c r="W94" t="s">
        <v>608</v>
      </c>
      <c r="X94">
        <v>5</v>
      </c>
      <c r="Y94">
        <v>167.70000000000002</v>
      </c>
      <c r="AA94" t="str">
        <f t="shared" si="10"/>
        <v>California</v>
      </c>
      <c r="AB94" t="str">
        <f t="shared" si="13"/>
        <v>Trinity County</v>
      </c>
      <c r="AC94">
        <f t="shared" si="14"/>
        <v>5</v>
      </c>
      <c r="AF94" t="str">
        <f t="shared" si="11"/>
        <v>California</v>
      </c>
      <c r="AG94" t="str">
        <f t="shared" si="11"/>
        <v>Trinity County</v>
      </c>
      <c r="AH94">
        <f t="shared" si="12"/>
        <v>167.70000000000002</v>
      </c>
      <c r="AJ94" t="s">
        <v>19</v>
      </c>
      <c r="AK94" t="s">
        <v>113</v>
      </c>
      <c r="AL94">
        <v>94</v>
      </c>
      <c r="AM94">
        <v>3978.5</v>
      </c>
    </row>
    <row r="95" spans="22:39" x14ac:dyDescent="0.5">
      <c r="V95" t="s">
        <v>19</v>
      </c>
      <c r="W95" t="s">
        <v>113</v>
      </c>
      <c r="X95">
        <v>94</v>
      </c>
      <c r="Y95">
        <v>3978.5</v>
      </c>
      <c r="AA95" t="str">
        <f t="shared" si="10"/>
        <v>California</v>
      </c>
      <c r="AB95" t="str">
        <f t="shared" si="13"/>
        <v>Tulare County</v>
      </c>
      <c r="AC95">
        <f t="shared" si="14"/>
        <v>94</v>
      </c>
      <c r="AF95" t="str">
        <f t="shared" si="11"/>
        <v>California</v>
      </c>
      <c r="AG95" t="str">
        <f t="shared" si="11"/>
        <v>Tulare County</v>
      </c>
      <c r="AH95">
        <f t="shared" si="12"/>
        <v>3978.5</v>
      </c>
      <c r="AJ95" t="s">
        <v>19</v>
      </c>
      <c r="AK95" t="s">
        <v>997</v>
      </c>
      <c r="AL95">
        <v>28</v>
      </c>
      <c r="AM95">
        <v>1405</v>
      </c>
    </row>
    <row r="96" spans="22:39" x14ac:dyDescent="0.5">
      <c r="V96" t="s">
        <v>19</v>
      </c>
      <c r="W96" t="s">
        <v>997</v>
      </c>
      <c r="X96">
        <v>28</v>
      </c>
      <c r="Y96">
        <v>1405</v>
      </c>
      <c r="AA96" t="str">
        <f t="shared" si="10"/>
        <v>California</v>
      </c>
      <c r="AB96" t="str">
        <f t="shared" si="13"/>
        <v>Tuolumne County</v>
      </c>
      <c r="AC96">
        <f t="shared" si="14"/>
        <v>28</v>
      </c>
      <c r="AF96" t="str">
        <f t="shared" si="11"/>
        <v>California</v>
      </c>
      <c r="AG96" t="str">
        <f t="shared" si="11"/>
        <v>Tuolumne County</v>
      </c>
      <c r="AH96">
        <f t="shared" si="12"/>
        <v>1405</v>
      </c>
      <c r="AJ96" t="s">
        <v>19</v>
      </c>
      <c r="AK96" t="s">
        <v>82</v>
      </c>
      <c r="AL96">
        <v>179</v>
      </c>
      <c r="AM96">
        <v>9869.0999999999985</v>
      </c>
    </row>
    <row r="97" spans="22:39" x14ac:dyDescent="0.5">
      <c r="V97" t="s">
        <v>19</v>
      </c>
      <c r="W97" t="s">
        <v>82</v>
      </c>
      <c r="X97">
        <v>179</v>
      </c>
      <c r="Y97">
        <v>9869.0999999999985</v>
      </c>
      <c r="AA97" t="str">
        <f t="shared" si="10"/>
        <v>California</v>
      </c>
      <c r="AB97" t="str">
        <f t="shared" si="13"/>
        <v>Ventura County</v>
      </c>
      <c r="AC97">
        <f t="shared" si="14"/>
        <v>179</v>
      </c>
      <c r="AF97" t="str">
        <f t="shared" si="11"/>
        <v>California</v>
      </c>
      <c r="AG97" t="str">
        <f t="shared" si="11"/>
        <v>Ventura County</v>
      </c>
      <c r="AH97">
        <f t="shared" si="12"/>
        <v>9869.0999999999985</v>
      </c>
      <c r="AJ97" t="s">
        <v>19</v>
      </c>
      <c r="AK97" t="s">
        <v>243</v>
      </c>
      <c r="AL97">
        <v>15</v>
      </c>
      <c r="AM97">
        <v>615.29999999999995</v>
      </c>
    </row>
    <row r="98" spans="22:39" x14ac:dyDescent="0.5">
      <c r="V98" t="s">
        <v>19</v>
      </c>
      <c r="W98" t="s">
        <v>243</v>
      </c>
      <c r="X98">
        <v>15</v>
      </c>
      <c r="Y98">
        <v>615.29999999999995</v>
      </c>
      <c r="AA98" t="str">
        <f t="shared" si="10"/>
        <v>California</v>
      </c>
      <c r="AB98" t="str">
        <f t="shared" si="13"/>
        <v>Yolo County</v>
      </c>
      <c r="AC98">
        <f t="shared" si="14"/>
        <v>15</v>
      </c>
      <c r="AF98" t="str">
        <f t="shared" si="11"/>
        <v>California</v>
      </c>
      <c r="AG98" t="str">
        <f t="shared" si="11"/>
        <v>Yolo County</v>
      </c>
      <c r="AH98">
        <f t="shared" si="12"/>
        <v>615.29999999999995</v>
      </c>
      <c r="AJ98" t="s">
        <v>19</v>
      </c>
      <c r="AK98" t="s">
        <v>1911</v>
      </c>
      <c r="AL98">
        <v>3</v>
      </c>
      <c r="AM98">
        <v>285</v>
      </c>
    </row>
    <row r="99" spans="22:39" x14ac:dyDescent="0.5">
      <c r="V99" t="s">
        <v>19</v>
      </c>
      <c r="W99" t="s">
        <v>1911</v>
      </c>
      <c r="X99">
        <v>3</v>
      </c>
      <c r="Y99">
        <v>285</v>
      </c>
      <c r="AA99" t="str">
        <f t="shared" si="10"/>
        <v>California</v>
      </c>
      <c r="AB99" t="str">
        <f t="shared" si="13"/>
        <v>Yuba County</v>
      </c>
      <c r="AC99">
        <f t="shared" si="14"/>
        <v>3</v>
      </c>
      <c r="AF99" t="str">
        <f t="shared" si="11"/>
        <v>California</v>
      </c>
      <c r="AG99" t="str">
        <f t="shared" si="11"/>
        <v>Yuba County</v>
      </c>
      <c r="AH99">
        <f t="shared" si="12"/>
        <v>285</v>
      </c>
    </row>
  </sheetData>
  <conditionalFormatting sqref="O7:R11">
    <cfRule type="colorScale" priority="2">
      <colorScale>
        <cfvo type="min"/>
        <cfvo type="percentile" val="50"/>
        <cfvo type="max"/>
        <color rgb="FFF8696B"/>
        <color rgb="FFFCFCFF"/>
        <color rgb="FF5A8AC6"/>
      </colorScale>
    </cfRule>
  </conditionalFormatting>
  <conditionalFormatting sqref="O16:R20">
    <cfRule type="colorScale" priority="1">
      <colorScale>
        <cfvo type="min"/>
        <cfvo type="percentile" val="50"/>
        <cfvo type="max"/>
        <color rgb="FFF8696B"/>
        <color rgb="FFFCFCFF"/>
        <color rgb="FF5A8AC6"/>
      </colorScale>
    </cfRule>
  </conditionalFormatting>
  <pageMargins left="0.7" right="0.7" top="0.75" bottom="0.75" header="0.3" footer="0.3"/>
  <drawing r:id="rId10"/>
  <legacy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Questions &amp; KPIs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p.likith reddy</cp:lastModifiedBy>
  <dcterms:created xsi:type="dcterms:W3CDTF">2025-06-13T02:42:26Z</dcterms:created>
  <dcterms:modified xsi:type="dcterms:W3CDTF">2026-09-25T15:01:05Z</dcterms:modified>
</cp:coreProperties>
</file>